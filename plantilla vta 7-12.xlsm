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00" yWindow="120" windowWidth="17940" windowHeight="12210" activeTab="3"/>
  </bookViews>
  <sheets>
    <sheet name="Ventas" sheetId="2" r:id="rId1"/>
    <sheet name="Registrovta" sheetId="3" r:id="rId2"/>
    <sheet name="Inventario" sheetId="4" r:id="rId3"/>
    <sheet name="Compras" sheetId="5" r:id="rId4"/>
    <sheet name="proveedores" sheetId="1" r:id="rId5"/>
    <sheet name="datos" sheetId="7" r:id="rId6"/>
    <sheet name="Hoja2" sheetId="10" r:id="rId7"/>
    <sheet name="Hoja1" sheetId="11" r:id="rId8"/>
  </sheets>
  <definedNames>
    <definedName name="_xlnm._FilterDatabase" localSheetId="5" hidden="1">datos!$A$2:$F$27</definedName>
    <definedName name="_xlnm._FilterDatabase" localSheetId="0" hidden="1">Ventas!$J$9:$K$601</definedName>
  </definedNames>
  <calcPr calcId="144525"/>
</workbook>
</file>

<file path=xl/calcChain.xml><?xml version="1.0" encoding="utf-8"?>
<calcChain xmlns="http://schemas.openxmlformats.org/spreadsheetml/2006/main">
  <c r="AT3" i="1" l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" i="1"/>
  <c r="C17" i="11"/>
  <c r="C16" i="11"/>
  <c r="C15" i="11"/>
  <c r="C14" i="11"/>
  <c r="C13" i="11"/>
  <c r="U7" i="11"/>
  <c r="R14" i="11"/>
  <c r="U4" i="11" s="1"/>
  <c r="G2" i="11"/>
  <c r="G8" i="11" s="1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3" i="5"/>
  <c r="C4" i="5"/>
  <c r="C5" i="5"/>
  <c r="C6" i="5"/>
  <c r="C7" i="5"/>
  <c r="C8" i="5"/>
  <c r="C2" i="5"/>
  <c r="C36" i="10" l="1"/>
  <c r="I56" i="5"/>
  <c r="I55" i="5"/>
  <c r="I54" i="5"/>
  <c r="I53" i="5"/>
  <c r="I52" i="5"/>
  <c r="I51" i="5"/>
  <c r="I50" i="5"/>
  <c r="I49" i="5"/>
  <c r="I48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D100" i="4"/>
  <c r="C100" i="4"/>
  <c r="E100" i="4" s="1"/>
  <c r="B100" i="4"/>
  <c r="D99" i="4"/>
  <c r="C99" i="4"/>
  <c r="E99" i="4" s="1"/>
  <c r="B99" i="4"/>
  <c r="D98" i="4"/>
  <c r="C98" i="4"/>
  <c r="E98" i="4" s="1"/>
  <c r="B98" i="4"/>
  <c r="D97" i="4"/>
  <c r="C97" i="4"/>
  <c r="E97" i="4" s="1"/>
  <c r="B97" i="4"/>
  <c r="D96" i="4"/>
  <c r="C96" i="4"/>
  <c r="E96" i="4" s="1"/>
  <c r="B96" i="4"/>
  <c r="D95" i="4"/>
  <c r="C95" i="4"/>
  <c r="E95" i="4" s="1"/>
  <c r="B95" i="4"/>
  <c r="D94" i="4"/>
  <c r="C94" i="4"/>
  <c r="E94" i="4" s="1"/>
  <c r="B94" i="4"/>
  <c r="D93" i="4"/>
  <c r="C93" i="4"/>
  <c r="E93" i="4" s="1"/>
  <c r="B93" i="4"/>
  <c r="D92" i="4"/>
  <c r="C92" i="4"/>
  <c r="E92" i="4" s="1"/>
  <c r="B92" i="4"/>
  <c r="D91" i="4"/>
  <c r="C91" i="4"/>
  <c r="E91" i="4" s="1"/>
  <c r="B91" i="4"/>
  <c r="D90" i="4"/>
  <c r="C90" i="4"/>
  <c r="E90" i="4" s="1"/>
  <c r="B90" i="4"/>
  <c r="D89" i="4"/>
  <c r="C89" i="4"/>
  <c r="E89" i="4" s="1"/>
  <c r="B89" i="4"/>
  <c r="D88" i="4"/>
  <c r="C88" i="4"/>
  <c r="E88" i="4" s="1"/>
  <c r="B88" i="4"/>
  <c r="D87" i="4"/>
  <c r="C87" i="4"/>
  <c r="E87" i="4" s="1"/>
  <c r="B87" i="4"/>
  <c r="D86" i="4"/>
  <c r="C86" i="4"/>
  <c r="E86" i="4" s="1"/>
  <c r="B86" i="4"/>
  <c r="D85" i="4"/>
  <c r="C85" i="4"/>
  <c r="E85" i="4" s="1"/>
  <c r="B85" i="4"/>
  <c r="D84" i="4"/>
  <c r="C84" i="4"/>
  <c r="E84" i="4" s="1"/>
  <c r="B84" i="4"/>
  <c r="D83" i="4"/>
  <c r="C83" i="4"/>
  <c r="E83" i="4" s="1"/>
  <c r="B83" i="4"/>
  <c r="D82" i="4"/>
  <c r="C82" i="4"/>
  <c r="E82" i="4" s="1"/>
  <c r="B82" i="4"/>
  <c r="D81" i="4"/>
  <c r="C81" i="4"/>
  <c r="E81" i="4" s="1"/>
  <c r="B81" i="4"/>
  <c r="D80" i="4"/>
  <c r="C80" i="4"/>
  <c r="E80" i="4" s="1"/>
  <c r="B80" i="4"/>
  <c r="D79" i="4"/>
  <c r="C79" i="4"/>
  <c r="E79" i="4" s="1"/>
  <c r="B79" i="4"/>
  <c r="D78" i="4"/>
  <c r="C78" i="4"/>
  <c r="E78" i="4" s="1"/>
  <c r="B78" i="4"/>
  <c r="D77" i="4"/>
  <c r="C77" i="4"/>
  <c r="E77" i="4" s="1"/>
  <c r="B77" i="4"/>
  <c r="D76" i="4"/>
  <c r="C76" i="4"/>
  <c r="E76" i="4" s="1"/>
  <c r="B76" i="4"/>
  <c r="D75" i="4"/>
  <c r="C75" i="4"/>
  <c r="E75" i="4" s="1"/>
  <c r="B75" i="4"/>
  <c r="D74" i="4"/>
  <c r="C74" i="4"/>
  <c r="E74" i="4" s="1"/>
  <c r="B74" i="4"/>
  <c r="D73" i="4"/>
  <c r="C73" i="4"/>
  <c r="E73" i="4" s="1"/>
  <c r="B73" i="4"/>
  <c r="D72" i="4"/>
  <c r="C72" i="4"/>
  <c r="E72" i="4" s="1"/>
  <c r="B72" i="4"/>
  <c r="D71" i="4"/>
  <c r="C71" i="4"/>
  <c r="E71" i="4" s="1"/>
  <c r="B71" i="4"/>
  <c r="D70" i="4"/>
  <c r="C70" i="4"/>
  <c r="E70" i="4" s="1"/>
  <c r="B70" i="4"/>
  <c r="D69" i="4"/>
  <c r="C69" i="4"/>
  <c r="E69" i="4" s="1"/>
  <c r="B69" i="4"/>
  <c r="D68" i="4"/>
  <c r="C68" i="4"/>
  <c r="E68" i="4" s="1"/>
  <c r="B68" i="4"/>
  <c r="D67" i="4"/>
  <c r="C67" i="4"/>
  <c r="E67" i="4" s="1"/>
  <c r="B67" i="4"/>
  <c r="D66" i="4"/>
  <c r="C66" i="4"/>
  <c r="E66" i="4" s="1"/>
  <c r="B66" i="4"/>
  <c r="D65" i="4"/>
  <c r="C65" i="4"/>
  <c r="E65" i="4" s="1"/>
  <c r="B65" i="4"/>
  <c r="D64" i="4"/>
  <c r="C64" i="4"/>
  <c r="E64" i="4" s="1"/>
  <c r="B64" i="4"/>
  <c r="D63" i="4"/>
  <c r="C63" i="4"/>
  <c r="E63" i="4" s="1"/>
  <c r="B63" i="4"/>
  <c r="D62" i="4"/>
  <c r="C62" i="4"/>
  <c r="E62" i="4" s="1"/>
  <c r="B62" i="4"/>
  <c r="D61" i="4"/>
  <c r="C61" i="4"/>
  <c r="E61" i="4" s="1"/>
  <c r="B61" i="4"/>
  <c r="D60" i="4"/>
  <c r="C60" i="4"/>
  <c r="E60" i="4" s="1"/>
  <c r="B60" i="4"/>
  <c r="D59" i="4"/>
  <c r="C59" i="4"/>
  <c r="E59" i="4" s="1"/>
  <c r="B59" i="4"/>
  <c r="D58" i="4"/>
  <c r="C58" i="4"/>
  <c r="E58" i="4" s="1"/>
  <c r="B58" i="4"/>
  <c r="D57" i="4"/>
  <c r="C57" i="4"/>
  <c r="E57" i="4" s="1"/>
  <c r="B57" i="4"/>
  <c r="D56" i="4"/>
  <c r="C56" i="4"/>
  <c r="E56" i="4" s="1"/>
  <c r="B56" i="4"/>
  <c r="D55" i="4"/>
  <c r="C55" i="4"/>
  <c r="E55" i="4" s="1"/>
  <c r="B55" i="4"/>
  <c r="D54" i="4"/>
  <c r="C54" i="4"/>
  <c r="E54" i="4" s="1"/>
  <c r="B54" i="4"/>
  <c r="D53" i="4"/>
  <c r="C53" i="4"/>
  <c r="E53" i="4" s="1"/>
  <c r="B53" i="4"/>
  <c r="D52" i="4"/>
  <c r="C52" i="4"/>
  <c r="E52" i="4" s="1"/>
  <c r="B52" i="4"/>
  <c r="D51" i="4"/>
  <c r="C51" i="4"/>
  <c r="E51" i="4" s="1"/>
  <c r="B51" i="4"/>
  <c r="D50" i="4"/>
  <c r="C50" i="4"/>
  <c r="E50" i="4" s="1"/>
  <c r="B50" i="4"/>
  <c r="D49" i="4"/>
  <c r="C49" i="4"/>
  <c r="E49" i="4" s="1"/>
  <c r="B49" i="4"/>
  <c r="D48" i="4"/>
  <c r="C48" i="4"/>
  <c r="E48" i="4" s="1"/>
  <c r="B48" i="4"/>
  <c r="D47" i="4"/>
  <c r="C47" i="4"/>
  <c r="E47" i="4" s="1"/>
  <c r="B47" i="4"/>
  <c r="D46" i="4"/>
  <c r="C46" i="4"/>
  <c r="E46" i="4" s="1"/>
  <c r="B46" i="4"/>
  <c r="D45" i="4"/>
  <c r="C45" i="4"/>
  <c r="E45" i="4" s="1"/>
  <c r="B45" i="4"/>
  <c r="D44" i="4"/>
  <c r="C44" i="4"/>
  <c r="E44" i="4" s="1"/>
  <c r="B44" i="4"/>
  <c r="D43" i="4"/>
  <c r="C43" i="4"/>
  <c r="E43" i="4" s="1"/>
  <c r="B43" i="4"/>
  <c r="D42" i="4"/>
  <c r="C42" i="4"/>
  <c r="E42" i="4" s="1"/>
  <c r="B42" i="4"/>
  <c r="D41" i="4"/>
  <c r="C41" i="4"/>
  <c r="E41" i="4" s="1"/>
  <c r="B41" i="4"/>
  <c r="D40" i="4"/>
  <c r="C40" i="4"/>
  <c r="E40" i="4" s="1"/>
  <c r="B40" i="4"/>
  <c r="D39" i="4"/>
  <c r="C39" i="4"/>
  <c r="E39" i="4" s="1"/>
  <c r="B39" i="4"/>
  <c r="D38" i="4"/>
  <c r="C38" i="4"/>
  <c r="E38" i="4" s="1"/>
  <c r="B38" i="4"/>
  <c r="D37" i="4"/>
  <c r="C37" i="4"/>
  <c r="E37" i="4" s="1"/>
  <c r="B37" i="4"/>
  <c r="D36" i="4"/>
  <c r="C36" i="4"/>
  <c r="E36" i="4" s="1"/>
  <c r="B36" i="4"/>
  <c r="D35" i="4"/>
  <c r="C35" i="4"/>
  <c r="E35" i="4" s="1"/>
  <c r="B35" i="4"/>
  <c r="D34" i="4"/>
  <c r="C34" i="4"/>
  <c r="E34" i="4" s="1"/>
  <c r="B34" i="4"/>
  <c r="D33" i="4"/>
  <c r="C33" i="4"/>
  <c r="E33" i="4" s="1"/>
  <c r="B33" i="4"/>
  <c r="D32" i="4"/>
  <c r="C32" i="4"/>
  <c r="E32" i="4" s="1"/>
  <c r="B32" i="4"/>
  <c r="D31" i="4"/>
  <c r="C31" i="4"/>
  <c r="E31" i="4" s="1"/>
  <c r="B31" i="4"/>
  <c r="D30" i="4"/>
  <c r="C30" i="4"/>
  <c r="E30" i="4" s="1"/>
  <c r="B30" i="4"/>
  <c r="D29" i="4"/>
  <c r="C29" i="4"/>
  <c r="E29" i="4" s="1"/>
  <c r="B29" i="4"/>
  <c r="D28" i="4"/>
  <c r="C28" i="4"/>
  <c r="E28" i="4" s="1"/>
  <c r="B28" i="4"/>
  <c r="D27" i="4"/>
  <c r="C27" i="4"/>
  <c r="E27" i="4" s="1"/>
  <c r="B27" i="4"/>
  <c r="D26" i="4"/>
  <c r="C26" i="4"/>
  <c r="E26" i="4" s="1"/>
  <c r="B26" i="4"/>
  <c r="D25" i="4"/>
  <c r="C25" i="4"/>
  <c r="E25" i="4" s="1"/>
  <c r="B25" i="4"/>
  <c r="D24" i="4"/>
  <c r="C24" i="4"/>
  <c r="E24" i="4" s="1"/>
  <c r="B24" i="4"/>
  <c r="D23" i="4"/>
  <c r="C23" i="4"/>
  <c r="E23" i="4" s="1"/>
  <c r="B23" i="4"/>
  <c r="D22" i="4"/>
  <c r="C22" i="4"/>
  <c r="E22" i="4" s="1"/>
  <c r="B22" i="4"/>
  <c r="D21" i="4"/>
  <c r="C21" i="4"/>
  <c r="E21" i="4" s="1"/>
  <c r="B21" i="4"/>
  <c r="D20" i="4"/>
  <c r="C20" i="4"/>
  <c r="E20" i="4" s="1"/>
  <c r="B20" i="4"/>
  <c r="D19" i="4"/>
  <c r="C19" i="4"/>
  <c r="E19" i="4" s="1"/>
  <c r="B19" i="4"/>
  <c r="D18" i="4"/>
  <c r="C18" i="4"/>
  <c r="E18" i="4" s="1"/>
  <c r="B18" i="4"/>
  <c r="D17" i="4"/>
  <c r="C17" i="4"/>
  <c r="E17" i="4" s="1"/>
  <c r="B17" i="4"/>
  <c r="D16" i="4"/>
  <c r="C16" i="4"/>
  <c r="E16" i="4" s="1"/>
  <c r="B16" i="4"/>
  <c r="D15" i="4"/>
  <c r="C15" i="4"/>
  <c r="E15" i="4" s="1"/>
  <c r="B15" i="4"/>
  <c r="D14" i="4"/>
  <c r="C14" i="4"/>
  <c r="E14" i="4" s="1"/>
  <c r="B14" i="4"/>
  <c r="D13" i="4"/>
  <c r="C13" i="4"/>
  <c r="E13" i="4" s="1"/>
  <c r="B13" i="4"/>
  <c r="D12" i="4"/>
  <c r="C12" i="4"/>
  <c r="E12" i="4" s="1"/>
  <c r="B12" i="4"/>
  <c r="D11" i="4"/>
  <c r="C11" i="4"/>
  <c r="E11" i="4" s="1"/>
  <c r="B11" i="4"/>
  <c r="D10" i="4"/>
  <c r="C10" i="4"/>
  <c r="E10" i="4" s="1"/>
  <c r="B10" i="4"/>
  <c r="D9" i="4"/>
  <c r="C9" i="4"/>
  <c r="E9" i="4" s="1"/>
  <c r="B9" i="4"/>
  <c r="D8" i="4"/>
  <c r="C8" i="4"/>
  <c r="E8" i="4" s="1"/>
  <c r="B8" i="4"/>
  <c r="D7" i="4"/>
  <c r="C7" i="4"/>
  <c r="E7" i="4" s="1"/>
  <c r="B7" i="4"/>
  <c r="D6" i="4"/>
  <c r="C6" i="4"/>
  <c r="E6" i="4" s="1"/>
  <c r="B6" i="4"/>
  <c r="D5" i="4"/>
  <c r="C5" i="4"/>
  <c r="E5" i="4" s="1"/>
  <c r="B5" i="4"/>
  <c r="D4" i="4"/>
  <c r="C4" i="4"/>
  <c r="E4" i="4" s="1"/>
  <c r="B4" i="4"/>
  <c r="D3" i="4"/>
  <c r="C3" i="4"/>
  <c r="E3" i="4" s="1"/>
  <c r="B3" i="4"/>
  <c r="D2" i="4"/>
  <c r="C2" i="4"/>
  <c r="E2" i="4" s="1"/>
  <c r="B2" i="4"/>
  <c r="K601" i="2"/>
  <c r="J601" i="2"/>
  <c r="K600" i="2"/>
  <c r="J600" i="2"/>
  <c r="K599" i="2"/>
  <c r="J599" i="2"/>
  <c r="K598" i="2"/>
  <c r="J598" i="2"/>
  <c r="K597" i="2"/>
  <c r="J597" i="2"/>
  <c r="K596" i="2"/>
  <c r="J596" i="2"/>
  <c r="K595" i="2"/>
  <c r="J595" i="2"/>
  <c r="K594" i="2"/>
  <c r="J594" i="2"/>
  <c r="K593" i="2"/>
  <c r="J593" i="2"/>
  <c r="K592" i="2"/>
  <c r="J592" i="2"/>
  <c r="K591" i="2"/>
  <c r="J591" i="2"/>
  <c r="K590" i="2"/>
  <c r="J590" i="2"/>
  <c r="K589" i="2"/>
  <c r="J589" i="2"/>
  <c r="K588" i="2"/>
  <c r="J588" i="2"/>
  <c r="K587" i="2"/>
  <c r="J587" i="2"/>
  <c r="K586" i="2"/>
  <c r="J586" i="2"/>
  <c r="K585" i="2"/>
  <c r="J585" i="2"/>
  <c r="K584" i="2"/>
  <c r="J584" i="2"/>
  <c r="K583" i="2"/>
  <c r="J583" i="2"/>
  <c r="K582" i="2"/>
  <c r="J582" i="2"/>
  <c r="K581" i="2"/>
  <c r="J581" i="2"/>
  <c r="K580" i="2"/>
  <c r="J580" i="2"/>
  <c r="K579" i="2"/>
  <c r="J579" i="2"/>
  <c r="K578" i="2"/>
  <c r="J578" i="2"/>
  <c r="K577" i="2"/>
  <c r="J577" i="2"/>
  <c r="K576" i="2"/>
  <c r="J576" i="2"/>
  <c r="K575" i="2"/>
  <c r="J575" i="2"/>
  <c r="K574" i="2"/>
  <c r="J574" i="2"/>
  <c r="K573" i="2"/>
  <c r="J573" i="2"/>
  <c r="K572" i="2"/>
  <c r="J572" i="2"/>
  <c r="K571" i="2"/>
  <c r="J571" i="2"/>
  <c r="K570" i="2"/>
  <c r="J570" i="2"/>
  <c r="K569" i="2"/>
  <c r="J569" i="2"/>
  <c r="K568" i="2"/>
  <c r="J568" i="2"/>
  <c r="K567" i="2"/>
  <c r="J567" i="2"/>
  <c r="K566" i="2"/>
  <c r="J566" i="2"/>
  <c r="K565" i="2"/>
  <c r="J565" i="2"/>
  <c r="K564" i="2"/>
  <c r="J564" i="2"/>
  <c r="K563" i="2"/>
  <c r="J563" i="2"/>
  <c r="K562" i="2"/>
  <c r="J562" i="2"/>
  <c r="K561" i="2"/>
  <c r="J561" i="2"/>
  <c r="K560" i="2"/>
  <c r="J560" i="2"/>
  <c r="K559" i="2"/>
  <c r="J559" i="2"/>
  <c r="K558" i="2"/>
  <c r="J558" i="2"/>
  <c r="K557" i="2"/>
  <c r="J557" i="2"/>
  <c r="K556" i="2"/>
  <c r="J556" i="2"/>
  <c r="K555" i="2"/>
  <c r="J555" i="2"/>
  <c r="K554" i="2"/>
  <c r="J554" i="2"/>
  <c r="K553" i="2"/>
  <c r="J553" i="2"/>
  <c r="K552" i="2"/>
  <c r="J552" i="2"/>
  <c r="K551" i="2"/>
  <c r="J551" i="2"/>
  <c r="K550" i="2"/>
  <c r="J550" i="2"/>
  <c r="K549" i="2"/>
  <c r="J549" i="2"/>
  <c r="K548" i="2"/>
  <c r="J548" i="2"/>
  <c r="K547" i="2"/>
  <c r="J547" i="2"/>
  <c r="K546" i="2"/>
  <c r="J546" i="2"/>
  <c r="K545" i="2"/>
  <c r="J545" i="2"/>
  <c r="K544" i="2"/>
  <c r="J544" i="2"/>
  <c r="K543" i="2"/>
  <c r="J543" i="2"/>
  <c r="K542" i="2"/>
  <c r="J542" i="2"/>
  <c r="K541" i="2"/>
  <c r="J541" i="2"/>
  <c r="K540" i="2"/>
  <c r="J540" i="2"/>
  <c r="K539" i="2"/>
  <c r="J539" i="2"/>
  <c r="K538" i="2"/>
  <c r="J538" i="2"/>
  <c r="K537" i="2"/>
  <c r="J537" i="2"/>
  <c r="K536" i="2"/>
  <c r="J536" i="2"/>
  <c r="K535" i="2"/>
  <c r="J535" i="2"/>
  <c r="K534" i="2"/>
  <c r="J534" i="2"/>
  <c r="K533" i="2"/>
  <c r="J533" i="2"/>
  <c r="K532" i="2"/>
  <c r="J532" i="2"/>
  <c r="K531" i="2"/>
  <c r="J531" i="2"/>
  <c r="K530" i="2"/>
  <c r="J530" i="2"/>
  <c r="K529" i="2"/>
  <c r="J529" i="2"/>
  <c r="K528" i="2"/>
  <c r="J528" i="2"/>
  <c r="K527" i="2"/>
  <c r="J527" i="2"/>
  <c r="K526" i="2"/>
  <c r="J526" i="2"/>
  <c r="K525" i="2"/>
  <c r="J525" i="2"/>
  <c r="K524" i="2"/>
  <c r="J524" i="2"/>
  <c r="K523" i="2"/>
  <c r="J523" i="2"/>
  <c r="K522" i="2"/>
  <c r="J522" i="2"/>
  <c r="K521" i="2"/>
  <c r="J521" i="2"/>
  <c r="K520" i="2"/>
  <c r="J520" i="2"/>
  <c r="K519" i="2"/>
  <c r="J519" i="2"/>
  <c r="K518" i="2"/>
  <c r="J518" i="2"/>
  <c r="K517" i="2"/>
  <c r="J517" i="2"/>
  <c r="K516" i="2"/>
  <c r="J516" i="2"/>
  <c r="K515" i="2"/>
  <c r="J515" i="2"/>
  <c r="K514" i="2"/>
  <c r="J514" i="2"/>
  <c r="K513" i="2"/>
  <c r="J513" i="2"/>
  <c r="K512" i="2"/>
  <c r="J512" i="2"/>
  <c r="K511" i="2"/>
  <c r="J511" i="2"/>
  <c r="K510" i="2"/>
  <c r="J510" i="2"/>
  <c r="K509" i="2"/>
  <c r="J509" i="2"/>
  <c r="K508" i="2"/>
  <c r="J508" i="2"/>
  <c r="K507" i="2"/>
  <c r="J507" i="2"/>
  <c r="K506" i="2"/>
  <c r="J506" i="2"/>
  <c r="K505" i="2"/>
  <c r="J505" i="2"/>
  <c r="K504" i="2"/>
  <c r="J504" i="2"/>
  <c r="K503" i="2"/>
  <c r="J503" i="2"/>
  <c r="K502" i="2"/>
  <c r="J502" i="2"/>
  <c r="K501" i="2"/>
  <c r="J501" i="2"/>
  <c r="K500" i="2"/>
  <c r="J500" i="2"/>
  <c r="K499" i="2"/>
  <c r="J499" i="2"/>
  <c r="K498" i="2"/>
  <c r="J498" i="2"/>
  <c r="K497" i="2"/>
  <c r="J497" i="2"/>
  <c r="K496" i="2"/>
  <c r="J496" i="2"/>
  <c r="K495" i="2"/>
  <c r="J495" i="2"/>
  <c r="K494" i="2"/>
  <c r="J494" i="2"/>
  <c r="K493" i="2"/>
  <c r="J493" i="2"/>
  <c r="K492" i="2"/>
  <c r="J492" i="2"/>
  <c r="K491" i="2"/>
  <c r="J491" i="2"/>
  <c r="K490" i="2"/>
  <c r="J490" i="2"/>
  <c r="K489" i="2"/>
  <c r="J489" i="2"/>
  <c r="K488" i="2"/>
  <c r="J488" i="2"/>
  <c r="K487" i="2"/>
  <c r="J487" i="2"/>
  <c r="K486" i="2"/>
  <c r="J486" i="2"/>
  <c r="K485" i="2"/>
  <c r="J485" i="2"/>
  <c r="K484" i="2"/>
  <c r="J484" i="2"/>
  <c r="K483" i="2"/>
  <c r="J483" i="2"/>
  <c r="K482" i="2"/>
  <c r="J482" i="2"/>
  <c r="K481" i="2"/>
  <c r="J481" i="2"/>
  <c r="K480" i="2"/>
  <c r="J480" i="2"/>
  <c r="K479" i="2"/>
  <c r="J479" i="2"/>
  <c r="K478" i="2"/>
  <c r="J478" i="2"/>
  <c r="K477" i="2"/>
  <c r="J477" i="2"/>
  <c r="K476" i="2"/>
  <c r="J476" i="2"/>
  <c r="K475" i="2"/>
  <c r="J475" i="2"/>
  <c r="K474" i="2"/>
  <c r="J474" i="2"/>
  <c r="K473" i="2"/>
  <c r="J473" i="2"/>
  <c r="K472" i="2"/>
  <c r="J472" i="2"/>
  <c r="K471" i="2"/>
  <c r="J471" i="2"/>
  <c r="K470" i="2"/>
  <c r="J470" i="2"/>
  <c r="K469" i="2"/>
  <c r="J469" i="2"/>
  <c r="K468" i="2"/>
  <c r="J468" i="2"/>
  <c r="K467" i="2"/>
  <c r="J467" i="2"/>
  <c r="K466" i="2"/>
  <c r="J466" i="2"/>
  <c r="K465" i="2"/>
  <c r="J465" i="2"/>
  <c r="K464" i="2"/>
  <c r="J464" i="2"/>
  <c r="K463" i="2"/>
  <c r="J463" i="2"/>
  <c r="K462" i="2"/>
  <c r="J462" i="2"/>
  <c r="K461" i="2"/>
  <c r="J461" i="2"/>
  <c r="K460" i="2"/>
  <c r="J460" i="2"/>
  <c r="K459" i="2"/>
  <c r="J459" i="2"/>
  <c r="K458" i="2"/>
  <c r="J458" i="2"/>
  <c r="K457" i="2"/>
  <c r="J457" i="2"/>
  <c r="K456" i="2"/>
  <c r="J456" i="2"/>
  <c r="K455" i="2"/>
  <c r="J455" i="2"/>
  <c r="K454" i="2"/>
  <c r="J454" i="2"/>
  <c r="K453" i="2"/>
  <c r="J453" i="2"/>
  <c r="K452" i="2"/>
  <c r="J452" i="2"/>
  <c r="K451" i="2"/>
  <c r="J451" i="2"/>
  <c r="K450" i="2"/>
  <c r="J450" i="2"/>
  <c r="K449" i="2"/>
  <c r="J449" i="2"/>
  <c r="K448" i="2"/>
  <c r="J448" i="2"/>
  <c r="K447" i="2"/>
  <c r="J447" i="2"/>
  <c r="K446" i="2"/>
  <c r="J446" i="2"/>
  <c r="K445" i="2"/>
  <c r="J445" i="2"/>
  <c r="K444" i="2"/>
  <c r="J444" i="2"/>
  <c r="K443" i="2"/>
  <c r="J443" i="2"/>
  <c r="K442" i="2"/>
  <c r="J442" i="2"/>
  <c r="K441" i="2"/>
  <c r="J441" i="2"/>
  <c r="K440" i="2"/>
  <c r="J440" i="2"/>
  <c r="K439" i="2"/>
  <c r="J439" i="2"/>
  <c r="K438" i="2"/>
  <c r="J438" i="2"/>
  <c r="K437" i="2"/>
  <c r="J437" i="2"/>
  <c r="K436" i="2"/>
  <c r="J436" i="2"/>
  <c r="K435" i="2"/>
  <c r="J435" i="2"/>
  <c r="K434" i="2"/>
  <c r="J434" i="2"/>
  <c r="K433" i="2"/>
  <c r="J433" i="2"/>
  <c r="K432" i="2"/>
  <c r="J432" i="2"/>
  <c r="K431" i="2"/>
  <c r="J431" i="2"/>
  <c r="K430" i="2"/>
  <c r="J430" i="2"/>
  <c r="K429" i="2"/>
  <c r="J429" i="2"/>
  <c r="K428" i="2"/>
  <c r="J428" i="2"/>
  <c r="K427" i="2"/>
  <c r="J427" i="2"/>
  <c r="K426" i="2"/>
  <c r="J426" i="2"/>
  <c r="K425" i="2"/>
  <c r="J425" i="2"/>
  <c r="K424" i="2"/>
  <c r="J424" i="2"/>
  <c r="K423" i="2"/>
  <c r="J423" i="2"/>
  <c r="K422" i="2"/>
  <c r="J422" i="2"/>
  <c r="K421" i="2"/>
  <c r="J421" i="2"/>
  <c r="K420" i="2"/>
  <c r="J420" i="2"/>
  <c r="K419" i="2"/>
  <c r="J419" i="2"/>
  <c r="K418" i="2"/>
  <c r="J418" i="2"/>
  <c r="K417" i="2"/>
  <c r="J417" i="2"/>
  <c r="K416" i="2"/>
  <c r="J416" i="2"/>
  <c r="K415" i="2"/>
  <c r="J415" i="2"/>
  <c r="K414" i="2"/>
  <c r="J414" i="2"/>
  <c r="K413" i="2"/>
  <c r="J413" i="2"/>
  <c r="K412" i="2"/>
  <c r="J412" i="2"/>
  <c r="K411" i="2"/>
  <c r="J411" i="2"/>
  <c r="K410" i="2"/>
  <c r="J410" i="2"/>
  <c r="K409" i="2"/>
  <c r="J409" i="2"/>
  <c r="K408" i="2"/>
  <c r="J408" i="2"/>
  <c r="K407" i="2"/>
  <c r="J407" i="2"/>
  <c r="K406" i="2"/>
  <c r="J406" i="2"/>
  <c r="K405" i="2"/>
  <c r="J405" i="2"/>
  <c r="K404" i="2"/>
  <c r="J404" i="2"/>
  <c r="K403" i="2"/>
  <c r="J403" i="2"/>
  <c r="K402" i="2"/>
  <c r="J402" i="2"/>
  <c r="K401" i="2"/>
  <c r="J401" i="2"/>
  <c r="K400" i="2"/>
  <c r="J400" i="2"/>
  <c r="K399" i="2"/>
  <c r="J399" i="2"/>
  <c r="K398" i="2"/>
  <c r="J398" i="2"/>
  <c r="K397" i="2"/>
  <c r="J397" i="2"/>
  <c r="K396" i="2"/>
  <c r="J396" i="2"/>
  <c r="K395" i="2"/>
  <c r="J395" i="2"/>
  <c r="K394" i="2"/>
  <c r="J394" i="2"/>
  <c r="K393" i="2"/>
  <c r="J393" i="2"/>
  <c r="K392" i="2"/>
  <c r="J392" i="2"/>
  <c r="K391" i="2"/>
  <c r="J391" i="2"/>
  <c r="K390" i="2"/>
  <c r="J390" i="2"/>
  <c r="K389" i="2"/>
  <c r="J389" i="2"/>
  <c r="K388" i="2"/>
  <c r="J388" i="2"/>
  <c r="K387" i="2"/>
  <c r="J387" i="2"/>
  <c r="K386" i="2"/>
  <c r="J386" i="2"/>
  <c r="K385" i="2"/>
  <c r="J385" i="2"/>
  <c r="K384" i="2"/>
  <c r="J384" i="2"/>
  <c r="K383" i="2"/>
  <c r="J383" i="2"/>
  <c r="K382" i="2"/>
  <c r="J382" i="2"/>
  <c r="K381" i="2"/>
  <c r="J381" i="2"/>
  <c r="K380" i="2"/>
  <c r="J380" i="2"/>
  <c r="K379" i="2"/>
  <c r="J379" i="2"/>
  <c r="K378" i="2"/>
  <c r="J378" i="2"/>
  <c r="K377" i="2"/>
  <c r="J377" i="2"/>
  <c r="K376" i="2"/>
  <c r="J376" i="2"/>
  <c r="K375" i="2"/>
  <c r="J375" i="2"/>
  <c r="K374" i="2"/>
  <c r="J374" i="2"/>
  <c r="K373" i="2"/>
  <c r="J373" i="2"/>
  <c r="K372" i="2"/>
  <c r="J372" i="2"/>
  <c r="K371" i="2"/>
  <c r="J371" i="2"/>
  <c r="K370" i="2"/>
  <c r="J370" i="2"/>
  <c r="K369" i="2"/>
  <c r="J369" i="2"/>
  <c r="K368" i="2"/>
  <c r="J368" i="2"/>
  <c r="K367" i="2"/>
  <c r="J367" i="2"/>
  <c r="K366" i="2"/>
  <c r="J366" i="2"/>
  <c r="K365" i="2"/>
  <c r="J365" i="2"/>
  <c r="K364" i="2"/>
  <c r="J364" i="2"/>
  <c r="K363" i="2"/>
  <c r="J363" i="2"/>
  <c r="K362" i="2"/>
  <c r="J362" i="2"/>
  <c r="K361" i="2"/>
  <c r="J361" i="2"/>
  <c r="K360" i="2"/>
  <c r="J360" i="2"/>
  <c r="K359" i="2"/>
  <c r="J359" i="2"/>
  <c r="K358" i="2"/>
  <c r="J358" i="2"/>
  <c r="K357" i="2"/>
  <c r="J357" i="2"/>
  <c r="K356" i="2"/>
  <c r="J356" i="2"/>
  <c r="K355" i="2"/>
  <c r="J355" i="2"/>
  <c r="K354" i="2"/>
  <c r="J354" i="2"/>
  <c r="K353" i="2"/>
  <c r="J353" i="2"/>
  <c r="K352" i="2"/>
  <c r="J352" i="2"/>
  <c r="K351" i="2"/>
  <c r="J351" i="2"/>
  <c r="K350" i="2"/>
  <c r="J350" i="2"/>
  <c r="K349" i="2"/>
  <c r="J349" i="2"/>
  <c r="K348" i="2"/>
  <c r="J348" i="2"/>
  <c r="K347" i="2"/>
  <c r="J347" i="2"/>
  <c r="K346" i="2"/>
  <c r="J346" i="2"/>
  <c r="K345" i="2"/>
  <c r="J345" i="2"/>
  <c r="K344" i="2"/>
  <c r="J344" i="2"/>
  <c r="K343" i="2"/>
  <c r="J343" i="2"/>
  <c r="K342" i="2"/>
  <c r="J342" i="2"/>
  <c r="K341" i="2"/>
  <c r="J341" i="2"/>
  <c r="K340" i="2"/>
  <c r="J340" i="2"/>
  <c r="K339" i="2"/>
  <c r="J339" i="2"/>
  <c r="K338" i="2"/>
  <c r="J338" i="2"/>
  <c r="K337" i="2"/>
  <c r="J337" i="2"/>
  <c r="K336" i="2"/>
  <c r="J336" i="2"/>
  <c r="K335" i="2"/>
  <c r="J335" i="2"/>
  <c r="K334" i="2"/>
  <c r="J334" i="2"/>
  <c r="K333" i="2"/>
  <c r="J333" i="2"/>
  <c r="K332" i="2"/>
  <c r="J332" i="2"/>
  <c r="K331" i="2"/>
  <c r="J331" i="2"/>
  <c r="K330" i="2"/>
  <c r="J330" i="2"/>
  <c r="K329" i="2"/>
  <c r="J329" i="2"/>
  <c r="K328" i="2"/>
  <c r="J328" i="2"/>
  <c r="K327" i="2"/>
  <c r="J327" i="2"/>
  <c r="K326" i="2"/>
  <c r="J326" i="2"/>
  <c r="K325" i="2"/>
  <c r="J325" i="2"/>
  <c r="K324" i="2"/>
  <c r="J324" i="2"/>
  <c r="K323" i="2"/>
  <c r="J323" i="2"/>
  <c r="K322" i="2"/>
  <c r="J322" i="2"/>
  <c r="K321" i="2"/>
  <c r="J321" i="2"/>
  <c r="K320" i="2"/>
  <c r="J320" i="2"/>
  <c r="K319" i="2"/>
  <c r="J319" i="2"/>
  <c r="K318" i="2"/>
  <c r="J318" i="2"/>
  <c r="K317" i="2"/>
  <c r="J317" i="2"/>
  <c r="K316" i="2"/>
  <c r="J316" i="2"/>
  <c r="K315" i="2"/>
  <c r="J315" i="2"/>
  <c r="K314" i="2"/>
  <c r="J314" i="2"/>
  <c r="K313" i="2"/>
  <c r="J313" i="2"/>
  <c r="K312" i="2"/>
  <c r="J312" i="2"/>
  <c r="K311" i="2"/>
  <c r="J311" i="2"/>
  <c r="K310" i="2"/>
  <c r="J310" i="2"/>
  <c r="K309" i="2"/>
  <c r="J309" i="2"/>
  <c r="K308" i="2"/>
  <c r="J308" i="2"/>
  <c r="K307" i="2"/>
  <c r="J307" i="2"/>
  <c r="K306" i="2"/>
  <c r="J306" i="2"/>
  <c r="K305" i="2"/>
  <c r="J305" i="2"/>
  <c r="K304" i="2"/>
  <c r="J304" i="2"/>
  <c r="K303" i="2"/>
  <c r="J303" i="2"/>
  <c r="K302" i="2"/>
  <c r="J302" i="2"/>
  <c r="K301" i="2"/>
  <c r="J301" i="2"/>
  <c r="K300" i="2"/>
  <c r="J300" i="2"/>
  <c r="K299" i="2"/>
  <c r="J299" i="2"/>
  <c r="K298" i="2"/>
  <c r="J298" i="2"/>
  <c r="K297" i="2"/>
  <c r="J297" i="2"/>
  <c r="K296" i="2"/>
  <c r="J296" i="2"/>
  <c r="K295" i="2"/>
  <c r="J295" i="2"/>
  <c r="K294" i="2"/>
  <c r="J294" i="2"/>
  <c r="K293" i="2"/>
  <c r="J293" i="2"/>
  <c r="K292" i="2"/>
  <c r="J292" i="2"/>
  <c r="K291" i="2"/>
  <c r="J291" i="2"/>
  <c r="K290" i="2"/>
  <c r="J290" i="2"/>
  <c r="K289" i="2"/>
  <c r="J289" i="2"/>
  <c r="K288" i="2"/>
  <c r="J288" i="2"/>
  <c r="K287" i="2"/>
  <c r="J287" i="2"/>
  <c r="K286" i="2"/>
  <c r="J286" i="2"/>
  <c r="K285" i="2"/>
  <c r="J285" i="2"/>
  <c r="K284" i="2"/>
  <c r="J284" i="2"/>
  <c r="K283" i="2"/>
  <c r="J283" i="2"/>
  <c r="K282" i="2"/>
  <c r="J282" i="2"/>
  <c r="K281" i="2"/>
  <c r="J281" i="2"/>
  <c r="K280" i="2"/>
  <c r="J280" i="2"/>
  <c r="K279" i="2"/>
  <c r="J279" i="2"/>
  <c r="K278" i="2"/>
  <c r="J278" i="2"/>
  <c r="K277" i="2"/>
  <c r="J277" i="2"/>
  <c r="K276" i="2"/>
  <c r="J276" i="2"/>
  <c r="K275" i="2"/>
  <c r="J275" i="2"/>
  <c r="K274" i="2"/>
  <c r="J274" i="2"/>
  <c r="K273" i="2"/>
  <c r="J273" i="2"/>
  <c r="K272" i="2"/>
  <c r="J272" i="2"/>
  <c r="K271" i="2"/>
  <c r="J271" i="2"/>
  <c r="K270" i="2"/>
  <c r="J270" i="2"/>
  <c r="K269" i="2"/>
  <c r="J269" i="2"/>
  <c r="K268" i="2"/>
  <c r="J268" i="2"/>
  <c r="K267" i="2"/>
  <c r="J267" i="2"/>
  <c r="K266" i="2"/>
  <c r="J266" i="2"/>
  <c r="K265" i="2"/>
  <c r="J265" i="2"/>
  <c r="K264" i="2"/>
  <c r="J264" i="2"/>
  <c r="K263" i="2"/>
  <c r="J263" i="2"/>
  <c r="K262" i="2"/>
  <c r="J262" i="2"/>
  <c r="K261" i="2"/>
  <c r="J261" i="2"/>
  <c r="K260" i="2"/>
  <c r="J260" i="2"/>
  <c r="K259" i="2"/>
  <c r="J259" i="2"/>
  <c r="K258" i="2"/>
  <c r="J258" i="2"/>
  <c r="K257" i="2"/>
  <c r="J257" i="2"/>
  <c r="K256" i="2"/>
  <c r="J256" i="2"/>
  <c r="K255" i="2"/>
  <c r="J255" i="2"/>
  <c r="K254" i="2"/>
  <c r="J254" i="2"/>
  <c r="K253" i="2"/>
  <c r="J253" i="2"/>
  <c r="K252" i="2"/>
  <c r="J252" i="2"/>
  <c r="K251" i="2"/>
  <c r="J251" i="2"/>
  <c r="K250" i="2"/>
  <c r="J250" i="2"/>
  <c r="K249" i="2"/>
  <c r="J249" i="2"/>
  <c r="K248" i="2"/>
  <c r="J248" i="2"/>
  <c r="K247" i="2"/>
  <c r="J247" i="2"/>
  <c r="K246" i="2"/>
  <c r="J246" i="2"/>
  <c r="K245" i="2"/>
  <c r="J245" i="2"/>
  <c r="K244" i="2"/>
  <c r="J244" i="2"/>
  <c r="K243" i="2"/>
  <c r="J243" i="2"/>
  <c r="K242" i="2"/>
  <c r="J242" i="2"/>
  <c r="K241" i="2"/>
  <c r="J241" i="2"/>
  <c r="K240" i="2"/>
  <c r="J240" i="2"/>
  <c r="K239" i="2"/>
  <c r="J239" i="2"/>
  <c r="K238" i="2"/>
  <c r="J238" i="2"/>
  <c r="K237" i="2"/>
  <c r="J237" i="2"/>
  <c r="K236" i="2"/>
  <c r="J236" i="2"/>
  <c r="K235" i="2"/>
  <c r="J235" i="2"/>
  <c r="K234" i="2"/>
  <c r="J234" i="2"/>
  <c r="K233" i="2"/>
  <c r="J233" i="2"/>
  <c r="K232" i="2"/>
  <c r="J232" i="2"/>
  <c r="K231" i="2"/>
  <c r="J231" i="2"/>
  <c r="K230" i="2"/>
  <c r="J230" i="2"/>
  <c r="K229" i="2"/>
  <c r="J229" i="2"/>
  <c r="K228" i="2"/>
  <c r="J228" i="2"/>
  <c r="K227" i="2"/>
  <c r="J227" i="2"/>
  <c r="K226" i="2"/>
  <c r="J226" i="2"/>
  <c r="K225" i="2"/>
  <c r="J225" i="2"/>
  <c r="K224" i="2"/>
  <c r="J224" i="2"/>
  <c r="K223" i="2"/>
  <c r="J223" i="2"/>
  <c r="K222" i="2"/>
  <c r="J222" i="2"/>
  <c r="K221" i="2"/>
  <c r="J221" i="2"/>
  <c r="K220" i="2"/>
  <c r="J220" i="2"/>
  <c r="K219" i="2"/>
  <c r="J219" i="2"/>
  <c r="K218" i="2"/>
  <c r="J218" i="2"/>
  <c r="K217" i="2"/>
  <c r="J217" i="2"/>
  <c r="K216" i="2"/>
  <c r="J216" i="2"/>
  <c r="K215" i="2"/>
  <c r="J215" i="2"/>
  <c r="K214" i="2"/>
  <c r="J214" i="2"/>
  <c r="K213" i="2"/>
  <c r="J213" i="2"/>
  <c r="K212" i="2"/>
  <c r="J212" i="2"/>
  <c r="K211" i="2"/>
  <c r="J211" i="2"/>
  <c r="K210" i="2"/>
  <c r="J210" i="2"/>
  <c r="K209" i="2"/>
  <c r="J209" i="2"/>
  <c r="K208" i="2"/>
  <c r="J208" i="2"/>
  <c r="K207" i="2"/>
  <c r="J207" i="2"/>
  <c r="K206" i="2"/>
  <c r="J206" i="2"/>
  <c r="K205" i="2"/>
  <c r="J205" i="2"/>
  <c r="K204" i="2"/>
  <c r="J204" i="2"/>
  <c r="K203" i="2"/>
  <c r="J203" i="2"/>
  <c r="K202" i="2"/>
  <c r="J202" i="2"/>
  <c r="K201" i="2"/>
  <c r="J201" i="2"/>
  <c r="K200" i="2"/>
  <c r="J200" i="2"/>
  <c r="K199" i="2"/>
  <c r="J199" i="2"/>
  <c r="K198" i="2"/>
  <c r="J198" i="2"/>
  <c r="K197" i="2"/>
  <c r="J197" i="2"/>
  <c r="K196" i="2"/>
  <c r="J196" i="2"/>
  <c r="K195" i="2"/>
  <c r="J195" i="2"/>
  <c r="K194" i="2"/>
  <c r="J194" i="2"/>
  <c r="K193" i="2"/>
  <c r="J193" i="2"/>
  <c r="K192" i="2"/>
  <c r="J192" i="2"/>
  <c r="K191" i="2"/>
  <c r="J191" i="2"/>
  <c r="K190" i="2"/>
  <c r="J190" i="2"/>
  <c r="K189" i="2"/>
  <c r="J189" i="2"/>
  <c r="K188" i="2"/>
  <c r="J188" i="2"/>
  <c r="K187" i="2"/>
  <c r="J187" i="2"/>
  <c r="K186" i="2"/>
  <c r="J186" i="2"/>
  <c r="K185" i="2"/>
  <c r="J185" i="2"/>
  <c r="K184" i="2"/>
  <c r="J184" i="2"/>
  <c r="K183" i="2"/>
  <c r="J183" i="2"/>
  <c r="K182" i="2"/>
  <c r="J182" i="2"/>
  <c r="K181" i="2"/>
  <c r="J181" i="2"/>
  <c r="K180" i="2"/>
  <c r="J180" i="2"/>
  <c r="K179" i="2"/>
  <c r="J179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E30" i="2"/>
  <c r="F30" i="2" s="1"/>
  <c r="C30" i="2"/>
  <c r="K29" i="2"/>
  <c r="J29" i="2"/>
  <c r="E29" i="2"/>
  <c r="F29" i="2" s="1"/>
  <c r="C29" i="2"/>
  <c r="K28" i="2"/>
  <c r="J28" i="2"/>
  <c r="E28" i="2"/>
  <c r="F28" i="2" s="1"/>
  <c r="C28" i="2"/>
  <c r="K27" i="2"/>
  <c r="J27" i="2"/>
  <c r="E27" i="2"/>
  <c r="F27" i="2" s="1"/>
  <c r="C27" i="2"/>
  <c r="K26" i="2"/>
  <c r="J26" i="2"/>
  <c r="E26" i="2"/>
  <c r="F26" i="2" s="1"/>
  <c r="C26" i="2"/>
  <c r="K25" i="2"/>
  <c r="J25" i="2"/>
  <c r="E25" i="2"/>
  <c r="F25" i="2" s="1"/>
  <c r="C25" i="2"/>
  <c r="K24" i="2"/>
  <c r="J24" i="2"/>
  <c r="E24" i="2"/>
  <c r="F24" i="2" s="1"/>
  <c r="C24" i="2"/>
  <c r="K23" i="2"/>
  <c r="J23" i="2"/>
  <c r="E23" i="2"/>
  <c r="F23" i="2" s="1"/>
  <c r="C23" i="2"/>
  <c r="K22" i="2"/>
  <c r="J22" i="2"/>
  <c r="E22" i="2"/>
  <c r="F22" i="2" s="1"/>
  <c r="C22" i="2"/>
  <c r="K21" i="2"/>
  <c r="J21" i="2"/>
  <c r="E21" i="2"/>
  <c r="F21" i="2" s="1"/>
  <c r="C21" i="2"/>
  <c r="K20" i="2"/>
  <c r="J20" i="2"/>
  <c r="E20" i="2"/>
  <c r="F20" i="2" s="1"/>
  <c r="C20" i="2"/>
  <c r="K19" i="2"/>
  <c r="J19" i="2"/>
  <c r="E19" i="2"/>
  <c r="F19" i="2" s="1"/>
  <c r="C19" i="2"/>
  <c r="K18" i="2"/>
  <c r="J18" i="2"/>
  <c r="E18" i="2"/>
  <c r="F18" i="2" s="1"/>
  <c r="C18" i="2"/>
  <c r="K17" i="2"/>
  <c r="J17" i="2"/>
  <c r="E17" i="2"/>
  <c r="F17" i="2" s="1"/>
  <c r="C17" i="2"/>
  <c r="K16" i="2"/>
  <c r="J16" i="2"/>
  <c r="E16" i="2"/>
  <c r="F16" i="2" s="1"/>
  <c r="C16" i="2"/>
  <c r="K15" i="2"/>
  <c r="J15" i="2"/>
  <c r="E15" i="2"/>
  <c r="F15" i="2" s="1"/>
  <c r="C15" i="2"/>
  <c r="K14" i="2"/>
  <c r="J14" i="2"/>
  <c r="E14" i="2"/>
  <c r="F14" i="2" s="1"/>
  <c r="C14" i="2"/>
  <c r="K13" i="2"/>
  <c r="J13" i="2"/>
  <c r="E13" i="2"/>
  <c r="F13" i="2" s="1"/>
  <c r="C13" i="2"/>
  <c r="K12" i="2"/>
  <c r="J12" i="2"/>
  <c r="E12" i="2"/>
  <c r="F12" i="2" s="1"/>
  <c r="C12" i="2"/>
  <c r="K11" i="2"/>
  <c r="J11" i="2"/>
  <c r="E11" i="2"/>
  <c r="F11" i="2" s="1"/>
  <c r="C11" i="2"/>
  <c r="K10" i="2"/>
  <c r="J10" i="2"/>
  <c r="S10" i="2" s="1"/>
  <c r="E10" i="2"/>
  <c r="F10" i="2" s="1"/>
  <c r="F31" i="2" s="1"/>
  <c r="H15" i="2" s="1"/>
  <c r="C10" i="2"/>
  <c r="H4" i="2"/>
  <c r="L3" i="2"/>
  <c r="H3" i="2"/>
  <c r="M4" i="2" s="1"/>
  <c r="M1" i="2"/>
  <c r="M3" i="2" l="1"/>
</calcChain>
</file>

<file path=xl/comments1.xml><?xml version="1.0" encoding="utf-8"?>
<comments xmlns="http://schemas.openxmlformats.org/spreadsheetml/2006/main">
  <authors>
    <author>Alejandro Nolasco Juarez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Alejandro Nolasco Juarez:</t>
        </r>
        <r>
          <rPr>
            <sz val="8"/>
            <color indexed="81"/>
            <rFont val="Tahoma"/>
            <family val="2"/>
          </rPr>
          <t xml:space="preserve">
AL ARTICULO SERA INGRESADO POR PESO O FIJO</t>
        </r>
      </text>
    </comment>
  </commentList>
</comments>
</file>

<file path=xl/comments2.xml><?xml version="1.0" encoding="utf-8"?>
<comments xmlns="http://schemas.openxmlformats.org/spreadsheetml/2006/main">
  <authors>
    <author>Cecilia</author>
  </authors>
  <commentList>
    <comment ref="Q1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COSTO DELA PANADERIA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BOLSA DE 1 KG
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KG DIVIDIDO LA BOLSA D KG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PRECIO COMPRA* PRECIO X UNIDAD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SUELDO DEL DUENO</t>
        </r>
      </text>
    </comment>
    <comment ref="U4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GSTOS DL MES / DIAS</t>
        </r>
      </text>
    </comment>
    <comment ref="T5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EN BASE A VTAS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ES TOTAL DE LA SUBRECETA</t>
        </r>
      </text>
    </comment>
    <comment ref="U7" authorId="0">
      <text>
        <r>
          <rPr>
            <b/>
            <sz val="9"/>
            <color indexed="81"/>
            <rFont val="Tahoma"/>
            <family val="2"/>
          </rPr>
          <t>Cecilia:</t>
        </r>
        <r>
          <rPr>
            <sz val="9"/>
            <color indexed="81"/>
            <rFont val="Tahoma"/>
            <family val="2"/>
          </rPr>
          <t xml:space="preserve">
COSTO OPP /Nº DE OPP POR DIA</t>
        </r>
      </text>
    </comment>
  </commentList>
</comments>
</file>

<file path=xl/sharedStrings.xml><?xml version="1.0" encoding="utf-8"?>
<sst xmlns="http://schemas.openxmlformats.org/spreadsheetml/2006/main" count="574" uniqueCount="357">
  <si>
    <t>CODE_BAR</t>
  </si>
  <si>
    <t>CLAVE</t>
  </si>
  <si>
    <t>CODE_PROV</t>
  </si>
  <si>
    <t>DESCRIPCION</t>
  </si>
  <si>
    <t>GRUPO</t>
  </si>
  <si>
    <t>MARCA</t>
  </si>
  <si>
    <t>UNIDAD</t>
  </si>
  <si>
    <t>#PROV</t>
  </si>
  <si>
    <t>PROVEEDOR</t>
  </si>
  <si>
    <t>TIPO</t>
  </si>
  <si>
    <t>COST_SIVA</t>
  </si>
  <si>
    <t>ULT_COSTO</t>
  </si>
  <si>
    <t>COST_PROM</t>
  </si>
  <si>
    <t>UTIL</t>
  </si>
  <si>
    <t>#IVA</t>
  </si>
  <si>
    <t>IVA</t>
  </si>
  <si>
    <t>PRECIO</t>
  </si>
  <si>
    <t>PREC_ANT</t>
  </si>
  <si>
    <t>OFERTA</t>
  </si>
  <si>
    <t>VIG_INI</t>
  </si>
  <si>
    <t>VIG_FIN</t>
  </si>
  <si>
    <t>STOCK</t>
  </si>
  <si>
    <t>STOCK_MIN</t>
  </si>
  <si>
    <t>STATUS</t>
  </si>
  <si>
    <t>FEC_ALTA</t>
  </si>
  <si>
    <t>FEC_BAJA</t>
  </si>
  <si>
    <t>ID</t>
  </si>
  <si>
    <t>DIRECCION</t>
  </si>
  <si>
    <t>CIUDAD</t>
  </si>
  <si>
    <t>TEL</t>
  </si>
  <si>
    <t>E-MAIL</t>
  </si>
  <si>
    <t>027242798144</t>
  </si>
  <si>
    <t>DVDSONY-R</t>
  </si>
  <si>
    <t>DVD-R SONY 1-16X</t>
  </si>
  <si>
    <t>ACCESORIOS DE COMPUTO</t>
  </si>
  <si>
    <t>SONY</t>
  </si>
  <si>
    <t>PIEZA</t>
  </si>
  <si>
    <t>SORIANA S.A. DE C.V</t>
  </si>
  <si>
    <t>FIJO</t>
  </si>
  <si>
    <t>ACTIVO</t>
  </si>
  <si>
    <t>1</t>
  </si>
  <si>
    <t>KILO</t>
  </si>
  <si>
    <t>HERRAMIENTAS</t>
  </si>
  <si>
    <t>EPSON</t>
  </si>
  <si>
    <t>ABARROTES S.A. DE C.V.</t>
  </si>
  <si>
    <t>010343812628</t>
  </si>
  <si>
    <t>C43S015374</t>
  </si>
  <si>
    <t>CINTA EPSON ERC-38 B</t>
  </si>
  <si>
    <t>CINTAS/TONERS/CARTUCHOS</t>
  </si>
  <si>
    <t>PESO</t>
  </si>
  <si>
    <t>2</t>
  </si>
  <si>
    <t>HP</t>
  </si>
  <si>
    <t>3</t>
  </si>
  <si>
    <t>BULTO</t>
  </si>
  <si>
    <t>CEMENTOS</t>
  </si>
  <si>
    <t>Enero</t>
  </si>
  <si>
    <t>Contado</t>
  </si>
  <si>
    <t>Factura número</t>
  </si>
  <si>
    <t>Fecha</t>
  </si>
  <si>
    <t>Febrero</t>
  </si>
  <si>
    <t>Crédito</t>
  </si>
  <si>
    <t>Hora</t>
  </si>
  <si>
    <t>Marzo</t>
  </si>
  <si>
    <t>INFORMACIÓN</t>
  </si>
  <si>
    <t>Abril</t>
  </si>
  <si>
    <t>Código</t>
  </si>
  <si>
    <t>Descripción</t>
  </si>
  <si>
    <t>Cantidad</t>
  </si>
  <si>
    <t>Valor</t>
  </si>
  <si>
    <t>SubTotal</t>
  </si>
  <si>
    <t>Mayo</t>
  </si>
  <si>
    <t>Junio</t>
  </si>
  <si>
    <t>PAN SALVADO</t>
  </si>
  <si>
    <t>Julio</t>
  </si>
  <si>
    <t xml:space="preserve">PAN DE HAMBURGUESA X 6 </t>
  </si>
  <si>
    <t>Agosto</t>
  </si>
  <si>
    <t/>
  </si>
  <si>
    <t>PAGA CON:</t>
  </si>
  <si>
    <t>Septiembre</t>
  </si>
  <si>
    <t>Octubre</t>
  </si>
  <si>
    <t>SU VUELTO:</t>
  </si>
  <si>
    <t>Noviembre</t>
  </si>
  <si>
    <t>Diciembre</t>
  </si>
  <si>
    <t>TOTAL</t>
  </si>
  <si>
    <t>Nº Factura</t>
  </si>
  <si>
    <t>Subtotal</t>
  </si>
  <si>
    <t>PAN SANGUCHERO</t>
  </si>
  <si>
    <t>PAN MIÑON</t>
  </si>
  <si>
    <t>TORTITA CHATITAS</t>
  </si>
  <si>
    <t xml:space="preserve">FACTURAS DE MANTECA </t>
  </si>
  <si>
    <t>PAN BOLLITO</t>
  </si>
  <si>
    <t>Codigo</t>
  </si>
  <si>
    <t>Compra</t>
  </si>
  <si>
    <t>Venta</t>
  </si>
  <si>
    <t>Existencias</t>
  </si>
  <si>
    <t>fecha</t>
  </si>
  <si>
    <t>Clave</t>
  </si>
  <si>
    <t>provedor</t>
  </si>
  <si>
    <t>Producto</t>
  </si>
  <si>
    <t>Precio Compra</t>
  </si>
  <si>
    <t>ganancia</t>
  </si>
  <si>
    <t>Precio Venta</t>
  </si>
  <si>
    <t>PAN DE PANCHO</t>
  </si>
  <si>
    <t>PAN ARABE X4</t>
  </si>
  <si>
    <t>PAN DE MIGA X 12</t>
  </si>
  <si>
    <t>PAN RALLADO X 500 G</t>
  </si>
  <si>
    <t>PAN DULCE ECONOMICO</t>
  </si>
  <si>
    <t>PAN DULCE ESPECIAL</t>
  </si>
  <si>
    <t>PANETON ECONOMICO</t>
  </si>
  <si>
    <t>PANETON ESPECIAL</t>
  </si>
  <si>
    <t>PREPIZZA X U.</t>
  </si>
  <si>
    <t>PIZZETAS X DOC</t>
  </si>
  <si>
    <t>PRELISTAS "PALETA Y MUSARELA"</t>
  </si>
  <si>
    <t>TORTITA C/ AZUCAR</t>
  </si>
  <si>
    <t>TORTITA GORDITAS</t>
  </si>
  <si>
    <t>TORTITA HOJANDRES</t>
  </si>
  <si>
    <t>TORTITA BOLSA  DIA ANTERIOR</t>
  </si>
  <si>
    <t>TORTA FRITAS</t>
  </si>
  <si>
    <t>FACTURASDE HOJALDRE</t>
  </si>
  <si>
    <t>FACTURAS ROSQUITOS</t>
  </si>
  <si>
    <t>FACTURA BOLSA DIA ANTERIOR</t>
  </si>
  <si>
    <t>TARTA DE COCO X DOC</t>
  </si>
  <si>
    <t>TARTA DE RICOTA X DOC</t>
  </si>
  <si>
    <t>TARTA DE MANZANA X DOC</t>
  </si>
  <si>
    <t>PASTELITOS</t>
  </si>
  <si>
    <t>MASA SECAS X K</t>
  </si>
  <si>
    <t>ALFAJOR DE MAICENA(CHICO) X K</t>
  </si>
  <si>
    <t>ALFAJOR DE MAICENA(GRANDE) X DOC</t>
  </si>
  <si>
    <t>ALFAJOR DE MIEL X DOC</t>
  </si>
  <si>
    <t>ALFAJOR DE CHOCOLATE X  U.</t>
  </si>
  <si>
    <t>MARINERA BLANCA S/SAL X K</t>
  </si>
  <si>
    <t>MARINERA BLANCA C/SAL X K</t>
  </si>
  <si>
    <t>MARINERA DE SALVADO S/SAL X K</t>
  </si>
  <si>
    <t>MARINERA DE SALVADO C/SAL X K</t>
  </si>
  <si>
    <t>GRISINES S/SEMILLAS X K</t>
  </si>
  <si>
    <t>GRISINES C/SEMILLAS X K</t>
  </si>
  <si>
    <t>GRISINES DE SALVADO S/SAL X K</t>
  </si>
  <si>
    <t>GRISINES DE SALVADO C/SAL X K</t>
  </si>
  <si>
    <t>TOSTADAS C/GLUTEN Y SAL X K</t>
  </si>
  <si>
    <t>TOSTADAS SEMIDULCE X K</t>
  </si>
  <si>
    <t>BUISCUIT</t>
  </si>
  <si>
    <t>SANDWICH DE MIGA JAMON Y QUESO X DOC</t>
  </si>
  <si>
    <t>SANDWICH DE MIGA VERDURA X DOC</t>
  </si>
  <si>
    <t>SANDWICH DE MIGA SALAME X DOC</t>
  </si>
  <si>
    <t>SANDWICH DE MIGA JAMON CRUDO X DOC</t>
  </si>
  <si>
    <t>SANDWICH DE MIGA PAN NEGRO JAMON Y QUESOX DOC</t>
  </si>
  <si>
    <t>EMPANADAS DE CARNE X DOC</t>
  </si>
  <si>
    <t>EMPANADAS DE JAMON Y QUESO X DOC</t>
  </si>
  <si>
    <t>EMPANADAS DE VERDURAS X DOC</t>
  </si>
  <si>
    <t>EMPANADAS DE POLLO  X DOC</t>
  </si>
  <si>
    <t>PRODUCTOS</t>
  </si>
  <si>
    <t>TELEFONO</t>
  </si>
  <si>
    <t>ENTREGA</t>
  </si>
  <si>
    <t>MORENO</t>
  </si>
  <si>
    <t>ALFONZO</t>
  </si>
  <si>
    <t>AUTOSERVICIO SER</t>
  </si>
  <si>
    <t>BEATRIZ IZUEL</t>
  </si>
  <si>
    <t>CALZA</t>
  </si>
  <si>
    <t>CASADORO</t>
  </si>
  <si>
    <t>CEREALES EL DIAMANTE</t>
  </si>
  <si>
    <t>COCA COLA</t>
  </si>
  <si>
    <t>COPETIN DIEGO</t>
  </si>
  <si>
    <t>COTIPLAST</t>
  </si>
  <si>
    <t>DANIEL MACHIN</t>
  </si>
  <si>
    <t>DESCARTABLE JM</t>
  </si>
  <si>
    <t>DI DIER</t>
  </si>
  <si>
    <t>DULCECITOS</t>
  </si>
  <si>
    <t>GIORDINA</t>
  </si>
  <si>
    <t>GUILLERMO</t>
  </si>
  <si>
    <t>HUILEN</t>
  </si>
  <si>
    <t>ILOLAY</t>
  </si>
  <si>
    <t>JESUS</t>
  </si>
  <si>
    <t>LA SERENISIMA</t>
  </si>
  <si>
    <t>LA VIRGINIA</t>
  </si>
  <si>
    <t>MACHIN</t>
  </si>
  <si>
    <t>LA ANDALUZA</t>
  </si>
  <si>
    <t>MANFREY</t>
  </si>
  <si>
    <t>MASUA</t>
  </si>
  <si>
    <t>PALADINI</t>
  </si>
  <si>
    <t>MAURICIO</t>
  </si>
  <si>
    <t>PAPAS SURE</t>
  </si>
  <si>
    <t>PEPSI</t>
  </si>
  <si>
    <t>PERGAMINO</t>
  </si>
  <si>
    <t>PURATOS</t>
  </si>
  <si>
    <t>SIERRA DE LOS PADRES</t>
  </si>
  <si>
    <t>POLLO DE ORO</t>
  </si>
  <si>
    <t>TRESMAYINO</t>
  </si>
  <si>
    <t>SERGIO LORCA</t>
  </si>
  <si>
    <t>SUBTOTAL</t>
  </si>
  <si>
    <t>WILLINER-ILOLAY</t>
  </si>
  <si>
    <t>maria</t>
  </si>
  <si>
    <t>Descripcion</t>
  </si>
  <si>
    <t>Existencia</t>
  </si>
  <si>
    <t>precio venta</t>
  </si>
  <si>
    <t>utilidad</t>
  </si>
  <si>
    <t>precio compra</t>
  </si>
  <si>
    <t>jose</t>
  </si>
  <si>
    <t>daniel</t>
  </si>
  <si>
    <t>INSUMOS</t>
  </si>
  <si>
    <t>SOLA</t>
  </si>
  <si>
    <t>BOLDRINI</t>
  </si>
  <si>
    <t>GRASA</t>
  </si>
  <si>
    <t>HUEVOS</t>
  </si>
  <si>
    <t>COCACOLA</t>
  </si>
  <si>
    <t>PEPSICO</t>
  </si>
  <si>
    <t>MENOYO</t>
  </si>
  <si>
    <t>CIMA DEL PLATA</t>
  </si>
  <si>
    <t>DESCARTABLES</t>
  </si>
  <si>
    <t>BAGGIO</t>
  </si>
  <si>
    <t>VARIOS</t>
  </si>
  <si>
    <t>SERENISIMA</t>
  </si>
  <si>
    <t>SANCOR</t>
  </si>
  <si>
    <t>DENTONI</t>
  </si>
  <si>
    <t>GOLLIAT</t>
  </si>
  <si>
    <t>TREGAR</t>
  </si>
  <si>
    <t>MISIONERO</t>
  </si>
  <si>
    <t>GUSTAVO</t>
  </si>
  <si>
    <t>CEREALERA</t>
  </si>
  <si>
    <t>HARINA</t>
  </si>
  <si>
    <t>4</t>
  </si>
  <si>
    <t>5</t>
  </si>
  <si>
    <t>MORENO 399</t>
  </si>
  <si>
    <t>PANADERIA</t>
  </si>
  <si>
    <t>SAN RAFAEL</t>
  </si>
  <si>
    <t>FIAMBRE-LACTERO-ALMACEN</t>
  </si>
  <si>
    <t>BEBIDA</t>
  </si>
  <si>
    <t>ALQUILER</t>
  </si>
  <si>
    <t>6</t>
  </si>
  <si>
    <t>ALMACEN</t>
  </si>
  <si>
    <t>7</t>
  </si>
  <si>
    <t>8</t>
  </si>
  <si>
    <t>9</t>
  </si>
  <si>
    <t>MENDOZA</t>
  </si>
  <si>
    <t>0261-5179542</t>
  </si>
  <si>
    <t>0261-4435778-154557926</t>
  </si>
  <si>
    <t>SER@GMAIL.COM</t>
  </si>
  <si>
    <t>125661533-154599057</t>
  </si>
  <si>
    <t>154692041-44341942</t>
  </si>
  <si>
    <t>154221841-154322977</t>
  </si>
  <si>
    <t>10</t>
  </si>
  <si>
    <t>COOP.BLAQUIER</t>
  </si>
  <si>
    <t>FIAMBRE</t>
  </si>
  <si>
    <t>154618311(damian)</t>
  </si>
  <si>
    <t>11</t>
  </si>
  <si>
    <t>DESCARTABLE</t>
  </si>
  <si>
    <t>154387025</t>
  </si>
  <si>
    <t>12</t>
  </si>
  <si>
    <t>154607427</t>
  </si>
  <si>
    <t>COPETIN</t>
  </si>
  <si>
    <t>13</t>
  </si>
  <si>
    <t>CROCANTE MANI</t>
  </si>
  <si>
    <t>154059300</t>
  </si>
  <si>
    <t>14</t>
  </si>
  <si>
    <t>15</t>
  </si>
  <si>
    <t>15456119-4438488</t>
  </si>
  <si>
    <t>16</t>
  </si>
  <si>
    <t>15411153-154552529</t>
  </si>
  <si>
    <t>17</t>
  </si>
  <si>
    <t>DIST.ENCINAS</t>
  </si>
  <si>
    <t>MATERIA PRIMA</t>
  </si>
  <si>
    <t>0261- 4978219</t>
  </si>
  <si>
    <t>18</t>
  </si>
  <si>
    <t>DIST.FALL</t>
  </si>
  <si>
    <t>19</t>
  </si>
  <si>
    <t>DIST.MAZA</t>
  </si>
  <si>
    <t>4446300</t>
  </si>
  <si>
    <t>20</t>
  </si>
  <si>
    <t>154533195</t>
  </si>
  <si>
    <t>21</t>
  </si>
  <si>
    <t>EDGARDO MUÑOS</t>
  </si>
  <si>
    <t>1546611153</t>
  </si>
  <si>
    <t>22</t>
  </si>
  <si>
    <t xml:space="preserve">FRIDO </t>
  </si>
  <si>
    <t>4447912</t>
  </si>
  <si>
    <t>23</t>
  </si>
  <si>
    <t>4420846</t>
  </si>
  <si>
    <t>24</t>
  </si>
  <si>
    <t>154599900</t>
  </si>
  <si>
    <t>25</t>
  </si>
  <si>
    <t>URCOLA</t>
  </si>
  <si>
    <t>26</t>
  </si>
  <si>
    <t>NUECES</t>
  </si>
  <si>
    <t>0261 46520099</t>
  </si>
  <si>
    <t>27</t>
  </si>
  <si>
    <t>LEGATEAU</t>
  </si>
  <si>
    <t>PASTELERIA</t>
  </si>
  <si>
    <t>154609653</t>
  </si>
  <si>
    <t>28</t>
  </si>
  <si>
    <t>LACTEOS</t>
  </si>
  <si>
    <t>261 4931277/2720</t>
  </si>
  <si>
    <t>29</t>
  </si>
  <si>
    <t>PAN DE MIGA</t>
  </si>
  <si>
    <t>4431000</t>
  </si>
  <si>
    <t>30</t>
  </si>
  <si>
    <t>31</t>
  </si>
  <si>
    <t>154680584</t>
  </si>
  <si>
    <t>32</t>
  </si>
  <si>
    <t>154538994</t>
  </si>
  <si>
    <t>33</t>
  </si>
  <si>
    <t>154618599</t>
  </si>
  <si>
    <t>34</t>
  </si>
  <si>
    <t>35</t>
  </si>
  <si>
    <t>154650532</t>
  </si>
  <si>
    <t>36</t>
  </si>
  <si>
    <t>DULCE DE LECHE</t>
  </si>
  <si>
    <t>154586217</t>
  </si>
  <si>
    <t>37</t>
  </si>
  <si>
    <t>AVES</t>
  </si>
  <si>
    <t>154360925-4439050</t>
  </si>
  <si>
    <t>38</t>
  </si>
  <si>
    <t xml:space="preserve">ROBERTO </t>
  </si>
  <si>
    <t>154338204</t>
  </si>
  <si>
    <t>39</t>
  </si>
  <si>
    <t>154398096</t>
  </si>
  <si>
    <t>40</t>
  </si>
  <si>
    <t>154552489</t>
  </si>
  <si>
    <t>41</t>
  </si>
  <si>
    <t>261 155363305</t>
  </si>
  <si>
    <t>42</t>
  </si>
  <si>
    <t>4428278-154660945</t>
  </si>
  <si>
    <t>TEXTIL</t>
  </si>
  <si>
    <t>INGREDIENTES</t>
  </si>
  <si>
    <t>PRESENTACION UNIDAD</t>
  </si>
  <si>
    <t>PRECIO DE COMPRA</t>
  </si>
  <si>
    <t>PORCION POR UNIDAD</t>
  </si>
  <si>
    <t>PRECIO X DOC O K</t>
  </si>
  <si>
    <t>KILOS O DOC</t>
  </si>
  <si>
    <t>PRODUCTO</t>
  </si>
  <si>
    <t>PAN</t>
  </si>
  <si>
    <t>SAL</t>
  </si>
  <si>
    <t>AGUA</t>
  </si>
  <si>
    <t xml:space="preserve">50 KG </t>
  </si>
  <si>
    <t>SUBRECETA</t>
  </si>
  <si>
    <t>PORCION</t>
  </si>
  <si>
    <t>COSTO MENSUAL</t>
  </si>
  <si>
    <t>LUZ</t>
  </si>
  <si>
    <t>TRASPORT</t>
  </si>
  <si>
    <t>SEG SOCIAL</t>
  </si>
  <si>
    <t>PAPELERIA</t>
  </si>
  <si>
    <t>M.LIMPIEZA</t>
  </si>
  <si>
    <t>TOTAL GASTOS</t>
  </si>
  <si>
    <t>DIAS LABORABLES</t>
  </si>
  <si>
    <t>COSTO DIARIO DE OPERAR</t>
  </si>
  <si>
    <t>ADMINISTRACION</t>
  </si>
  <si>
    <t>EMPLEADOS</t>
  </si>
  <si>
    <t>GASTO DL MES</t>
  </si>
  <si>
    <t>Nº DE OPP X DIA</t>
  </si>
  <si>
    <t>GASTOS X OPP</t>
  </si>
  <si>
    <t>COSTO RECETA</t>
  </si>
  <si>
    <t>COSTO OPP PROD</t>
  </si>
  <si>
    <t>COSTO DE ELABORAR RECETA</t>
  </si>
  <si>
    <t>PRECIO D VTA SUGUERIDO</t>
  </si>
  <si>
    <t>% UTILIDAD 35%</t>
  </si>
  <si>
    <t>TOTAL COMPRA</t>
  </si>
  <si>
    <t>Entrega</t>
  </si>
  <si>
    <t>Saldo</t>
  </si>
  <si>
    <t>Total compra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</si>
</sst>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$&quot;\ * #,##0.00_ ;_ &quot;$&quot;\ * \-#,##0.00_ ;_ &quot;$&quot;\ * &quot;-&quot;??_ ;_ @_ "/>
    <numFmt numFmtId="164" formatCode="000000"/>
    <numFmt numFmtId="165" formatCode="0.0000"/>
    <numFmt numFmtId="166" formatCode="[$-F400]h:mm:ss\ AM/PM"/>
    <numFmt numFmtId="167" formatCode="[$$-2C0A]\ #,##0.00"/>
    <numFmt numFmtId="168" formatCode="_ [$€]\ * #,##0.00_ ;_ [$€]\ * \-#,##0.00_ ;_ [$€]\ * &quot;-&quot;??_ ;_ @_ "/>
  </numFmts>
  <fonts count="2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6"/>
      <color rgb="FFFFC000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20"/>
      <color theme="1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  <xf numFmtId="44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3" fillId="0" borderId="0"/>
    <xf numFmtId="168" fontId="23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right"/>
    </xf>
    <xf numFmtId="164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14" fontId="0" fillId="0" borderId="0" xfId="0" applyNumberFormat="1"/>
    <xf numFmtId="0" fontId="1" fillId="3" borderId="0" xfId="2" applyFill="1" applyProtection="1">
      <protection locked="0"/>
    </xf>
    <xf numFmtId="0" fontId="1" fillId="4" borderId="0" xfId="2" applyFill="1" applyProtection="1">
      <protection locked="0"/>
    </xf>
    <xf numFmtId="0" fontId="1" fillId="0" borderId="0" xfId="2" applyFill="1" applyProtection="1"/>
    <xf numFmtId="0" fontId="1" fillId="0" borderId="0" xfId="2" applyProtection="1">
      <protection locked="0"/>
    </xf>
    <xf numFmtId="0" fontId="1" fillId="0" borderId="0" xfId="2" applyFill="1" applyProtection="1">
      <protection locked="0"/>
    </xf>
    <xf numFmtId="0" fontId="5" fillId="3" borderId="0" xfId="2" applyFont="1" applyFill="1" applyBorder="1" applyAlignment="1" applyProtection="1">
      <alignment horizontal="left" vertical="center" wrapText="1"/>
      <protection locked="0"/>
    </xf>
    <xf numFmtId="0" fontId="6" fillId="3" borderId="0" xfId="2" applyFont="1" applyFill="1" applyBorder="1" applyAlignment="1" applyProtection="1">
      <alignment horizontal="center" vertical="top"/>
      <protection locked="0"/>
    </xf>
    <xf numFmtId="0" fontId="5" fillId="3" borderId="0" xfId="2" applyFont="1" applyFill="1" applyProtection="1">
      <protection locked="0"/>
    </xf>
    <xf numFmtId="0" fontId="7" fillId="3" borderId="0" xfId="2" applyFont="1" applyFill="1" applyBorder="1" applyAlignment="1" applyProtection="1">
      <protection locked="0"/>
    </xf>
    <xf numFmtId="0" fontId="5" fillId="3" borderId="0" xfId="2" applyFont="1" applyFill="1" applyBorder="1" applyAlignment="1" applyProtection="1">
      <alignment horizontal="left"/>
      <protection locked="0"/>
    </xf>
    <xf numFmtId="14" fontId="8" fillId="3" borderId="0" xfId="2" applyNumberFormat="1" applyFont="1" applyFill="1" applyBorder="1" applyAlignment="1" applyProtection="1">
      <alignment horizontal="center"/>
    </xf>
    <xf numFmtId="44" fontId="9" fillId="4" borderId="0" xfId="3" applyFont="1" applyFill="1" applyProtection="1">
      <protection locked="0"/>
    </xf>
    <xf numFmtId="14" fontId="1" fillId="0" borderId="0" xfId="2" applyNumberFormat="1" applyProtection="1">
      <protection locked="0"/>
    </xf>
    <xf numFmtId="0" fontId="5" fillId="3" borderId="0" xfId="2" applyFont="1" applyFill="1" applyAlignment="1" applyProtection="1">
      <alignment horizontal="left"/>
      <protection locked="0"/>
    </xf>
    <xf numFmtId="166" fontId="8" fillId="3" borderId="0" xfId="2" applyNumberFormat="1" applyFont="1" applyFill="1" applyBorder="1" applyAlignment="1" applyProtection="1">
      <alignment horizontal="center"/>
    </xf>
    <xf numFmtId="166" fontId="1" fillId="0" borderId="0" xfId="2" applyNumberFormat="1" applyProtection="1">
      <protection locked="0"/>
    </xf>
    <xf numFmtId="0" fontId="5" fillId="3" borderId="0" xfId="2" applyFont="1" applyFill="1" applyBorder="1" applyAlignment="1" applyProtection="1">
      <alignment horizontal="center"/>
      <protection locked="0"/>
    </xf>
    <xf numFmtId="0" fontId="5" fillId="0" borderId="0" xfId="2" applyFont="1" applyFill="1" applyBorder="1" applyAlignment="1" applyProtection="1">
      <alignment horizontal="center"/>
    </xf>
    <xf numFmtId="0" fontId="5" fillId="0" borderId="0" xfId="2" applyFont="1" applyFill="1" applyBorder="1" applyAlignment="1" applyProtection="1">
      <alignment horizontal="center"/>
      <protection locked="0"/>
    </xf>
    <xf numFmtId="0" fontId="5" fillId="0" borderId="2" xfId="2" applyFont="1" applyFill="1" applyBorder="1" applyAlignment="1" applyProtection="1"/>
    <xf numFmtId="0" fontId="1" fillId="0" borderId="0" xfId="2" applyNumberFormat="1" applyProtection="1">
      <protection locked="0"/>
    </xf>
    <xf numFmtId="0" fontId="10" fillId="3" borderId="0" xfId="2" applyFont="1" applyFill="1" applyBorder="1" applyAlignment="1" applyProtection="1">
      <alignment horizontal="center" vertical="center"/>
      <protection locked="0"/>
    </xf>
    <xf numFmtId="0" fontId="5" fillId="5" borderId="5" xfId="2" applyFont="1" applyFill="1" applyBorder="1" applyAlignment="1" applyProtection="1">
      <alignment horizontal="center"/>
    </xf>
    <xf numFmtId="0" fontId="5" fillId="5" borderId="6" xfId="2" applyFont="1" applyFill="1" applyBorder="1" applyAlignment="1" applyProtection="1">
      <alignment horizontal="center"/>
    </xf>
    <xf numFmtId="0" fontId="1" fillId="0" borderId="0" xfId="2" applyFill="1" applyBorder="1" applyProtection="1">
      <protection locked="0"/>
    </xf>
    <xf numFmtId="0" fontId="1" fillId="0" borderId="1" xfId="2" applyFill="1" applyBorder="1" applyAlignment="1" applyProtection="1">
      <alignment horizontal="center" vertical="center"/>
      <protection locked="0"/>
    </xf>
    <xf numFmtId="0" fontId="1" fillId="0" borderId="1" xfId="2" applyFill="1" applyBorder="1" applyAlignment="1" applyProtection="1">
      <alignment horizontal="center" vertical="center"/>
    </xf>
    <xf numFmtId="0" fontId="1" fillId="6" borderId="7" xfId="2" applyFill="1" applyBorder="1" applyProtection="1"/>
    <xf numFmtId="0" fontId="1" fillId="6" borderId="4" xfId="2" applyFill="1" applyBorder="1" applyProtection="1"/>
    <xf numFmtId="44" fontId="11" fillId="0" borderId="8" xfId="3" applyFont="1" applyFill="1" applyBorder="1" applyProtection="1">
      <protection locked="0"/>
    </xf>
    <xf numFmtId="0" fontId="12" fillId="0" borderId="0" xfId="2" applyFont="1" applyProtection="1">
      <protection locked="0"/>
    </xf>
    <xf numFmtId="44" fontId="13" fillId="0" borderId="8" xfId="3" applyFont="1" applyFill="1" applyBorder="1" applyProtection="1"/>
    <xf numFmtId="0" fontId="1" fillId="7" borderId="0" xfId="2" applyFill="1" applyAlignment="1" applyProtection="1">
      <alignment horizontal="center" vertical="center"/>
      <protection locked="0"/>
    </xf>
    <xf numFmtId="0" fontId="5" fillId="7" borderId="0" xfId="2" applyFont="1" applyFill="1" applyAlignment="1" applyProtection="1">
      <alignment horizontal="center" vertical="center"/>
    </xf>
    <xf numFmtId="44" fontId="0" fillId="7" borderId="9" xfId="3" applyFont="1" applyFill="1" applyBorder="1" applyAlignment="1" applyProtection="1">
      <alignment horizontal="center" vertical="center"/>
    </xf>
    <xf numFmtId="0" fontId="1" fillId="3" borderId="0" xfId="2" applyFill="1" applyBorder="1" applyProtection="1">
      <protection locked="0"/>
    </xf>
    <xf numFmtId="0" fontId="1" fillId="6" borderId="0" xfId="2" applyFill="1" applyProtection="1"/>
    <xf numFmtId="14" fontId="5" fillId="8" borderId="1" xfId="2" applyNumberFormat="1" applyFont="1" applyFill="1" applyBorder="1" applyAlignment="1">
      <alignment horizontal="center" vertical="center"/>
    </xf>
    <xf numFmtId="166" fontId="5" fillId="8" borderId="1" xfId="2" applyNumberFormat="1" applyFont="1" applyFill="1" applyBorder="1" applyAlignment="1">
      <alignment horizontal="center" vertical="center"/>
    </xf>
    <xf numFmtId="0" fontId="5" fillId="8" borderId="1" xfId="2" applyFont="1" applyFill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1" fillId="0" borderId="0" xfId="2"/>
    <xf numFmtId="14" fontId="1" fillId="0" borderId="0" xfId="2" applyNumberFormat="1"/>
    <xf numFmtId="166" fontId="1" fillId="0" borderId="0" xfId="2" applyNumberFormat="1"/>
    <xf numFmtId="0" fontId="1" fillId="0" borderId="0" xfId="2" applyNumberFormat="1"/>
    <xf numFmtId="0" fontId="5" fillId="0" borderId="0" xfId="2" applyFont="1" applyFill="1" applyBorder="1" applyAlignment="1">
      <alignment horizontal="center"/>
    </xf>
    <xf numFmtId="0" fontId="1" fillId="0" borderId="0" xfId="2" applyBorder="1"/>
    <xf numFmtId="14" fontId="5" fillId="0" borderId="0" xfId="2" applyNumberFormat="1" applyFont="1" applyBorder="1"/>
    <xf numFmtId="166" fontId="5" fillId="0" borderId="0" xfId="2" applyNumberFormat="1" applyFont="1" applyBorder="1"/>
    <xf numFmtId="0" fontId="5" fillId="0" borderId="0" xfId="2" applyFont="1" applyBorder="1" applyAlignment="1">
      <alignment horizontal="center" vertical="center"/>
    </xf>
    <xf numFmtId="14" fontId="1" fillId="0" borderId="0" xfId="2" applyNumberFormat="1" applyBorder="1"/>
    <xf numFmtId="166" fontId="1" fillId="0" borderId="0" xfId="2" applyNumberFormat="1" applyBorder="1"/>
    <xf numFmtId="0" fontId="1" fillId="0" borderId="0" xfId="2" applyNumberFormat="1" applyBorder="1"/>
    <xf numFmtId="0" fontId="14" fillId="9" borderId="10" xfId="2" applyFont="1" applyFill="1" applyBorder="1" applyAlignment="1">
      <alignment horizontal="center" vertical="center"/>
    </xf>
    <xf numFmtId="0" fontId="14" fillId="9" borderId="11" xfId="2" applyFont="1" applyFill="1" applyBorder="1" applyAlignment="1">
      <alignment horizontal="center" vertical="center"/>
    </xf>
    <xf numFmtId="0" fontId="1" fillId="0" borderId="12" xfId="2" applyFill="1" applyBorder="1"/>
    <xf numFmtId="0" fontId="1" fillId="0" borderId="1" xfId="2" applyFill="1" applyBorder="1"/>
    <xf numFmtId="0" fontId="1" fillId="4" borderId="0" xfId="2" applyFill="1" applyBorder="1"/>
    <xf numFmtId="14" fontId="1" fillId="0" borderId="12" xfId="2" applyNumberFormat="1" applyBorder="1"/>
    <xf numFmtId="0" fontId="1" fillId="0" borderId="12" xfId="2" applyBorder="1" applyAlignment="1">
      <alignment horizontal="center"/>
    </xf>
    <xf numFmtId="0" fontId="1" fillId="0" borderId="1" xfId="2" applyBorder="1"/>
    <xf numFmtId="0" fontId="1" fillId="0" borderId="12" xfId="2" applyBorder="1"/>
    <xf numFmtId="14" fontId="1" fillId="0" borderId="1" xfId="2" applyNumberFormat="1" applyBorder="1"/>
    <xf numFmtId="0" fontId="1" fillId="0" borderId="1" xfId="2" applyBorder="1" applyAlignment="1">
      <alignment horizontal="center"/>
    </xf>
    <xf numFmtId="167" fontId="18" fillId="10" borderId="1" xfId="2" applyNumberFormat="1" applyFont="1" applyFill="1" applyBorder="1" applyAlignment="1">
      <alignment horizontal="center" vertical="center" wrapText="1"/>
    </xf>
    <xf numFmtId="167" fontId="1" fillId="0" borderId="1" xfId="2" applyNumberFormat="1" applyBorder="1"/>
    <xf numFmtId="167" fontId="1" fillId="0" borderId="1" xfId="2" applyNumberFormat="1" applyFill="1" applyBorder="1"/>
    <xf numFmtId="167" fontId="1" fillId="11" borderId="1" xfId="2" applyNumberFormat="1" applyFill="1" applyBorder="1"/>
    <xf numFmtId="167" fontId="1" fillId="12" borderId="1" xfId="2" applyNumberFormat="1" applyFill="1" applyBorder="1"/>
    <xf numFmtId="167" fontId="1" fillId="13" borderId="1" xfId="2" applyNumberFormat="1" applyFill="1" applyBorder="1"/>
    <xf numFmtId="0" fontId="1" fillId="14" borderId="16" xfId="2" applyFill="1" applyBorder="1"/>
    <xf numFmtId="0" fontId="1" fillId="14" borderId="17" xfId="2" applyFill="1" applyBorder="1"/>
    <xf numFmtId="0" fontId="5" fillId="15" borderId="18" xfId="2" applyFont="1" applyFill="1" applyBorder="1"/>
    <xf numFmtId="0" fontId="5" fillId="15" borderId="19" xfId="2" applyFont="1" applyFill="1" applyBorder="1"/>
    <xf numFmtId="0" fontId="1" fillId="14" borderId="1" xfId="2" applyFill="1" applyBorder="1"/>
    <xf numFmtId="0" fontId="1" fillId="14" borderId="12" xfId="2" applyFill="1" applyBorder="1"/>
    <xf numFmtId="0" fontId="17" fillId="10" borderId="24" xfId="2" applyFont="1" applyFill="1" applyBorder="1" applyAlignment="1">
      <alignment horizontal="center" vertical="center" wrapText="1"/>
    </xf>
    <xf numFmtId="167" fontId="18" fillId="10" borderId="24" xfId="2" applyNumberFormat="1" applyFont="1" applyFill="1" applyBorder="1" applyAlignment="1">
      <alignment horizontal="center" vertical="center" wrapText="1"/>
    </xf>
    <xf numFmtId="167" fontId="19" fillId="0" borderId="3" xfId="4" applyNumberFormat="1" applyBorder="1" applyAlignment="1" applyProtection="1"/>
    <xf numFmtId="167" fontId="19" fillId="0" borderId="25" xfId="4" applyNumberFormat="1" applyBorder="1" applyAlignment="1" applyProtection="1"/>
    <xf numFmtId="167" fontId="19" fillId="0" borderId="25" xfId="4" applyNumberFormat="1" applyFill="1" applyBorder="1" applyAlignment="1" applyProtection="1"/>
    <xf numFmtId="167" fontId="19" fillId="11" borderId="25" xfId="4" applyNumberFormat="1" applyFill="1" applyBorder="1" applyAlignment="1" applyProtection="1"/>
    <xf numFmtId="4" fontId="20" fillId="0" borderId="21" xfId="2" applyNumberFormat="1" applyFont="1" applyFill="1" applyBorder="1"/>
    <xf numFmtId="167" fontId="20" fillId="0" borderId="25" xfId="2" applyNumberFormat="1" applyFont="1" applyFill="1" applyBorder="1"/>
    <xf numFmtId="167" fontId="20" fillId="0" borderId="25" xfId="2" applyNumberFormat="1" applyFont="1" applyBorder="1"/>
    <xf numFmtId="4" fontId="20" fillId="0" borderId="5" xfId="2" applyNumberFormat="1" applyFont="1" applyFill="1" applyBorder="1"/>
    <xf numFmtId="167" fontId="20" fillId="0" borderId="26" xfId="2" applyNumberFormat="1" applyFont="1" applyBorder="1"/>
    <xf numFmtId="4" fontId="21" fillId="0" borderId="24" xfId="2" applyNumberFormat="1" applyFont="1" applyBorder="1"/>
    <xf numFmtId="167" fontId="21" fillId="0" borderId="5" xfId="2" applyNumberFormat="1" applyFont="1" applyBorder="1"/>
    <xf numFmtId="4" fontId="20" fillId="13" borderId="0" xfId="2" applyNumberFormat="1" applyFont="1" applyFill="1" applyBorder="1"/>
    <xf numFmtId="167" fontId="20" fillId="13" borderId="0" xfId="2" applyNumberFormat="1" applyFont="1" applyFill="1" applyBorder="1"/>
    <xf numFmtId="4" fontId="20" fillId="13" borderId="2" xfId="2" applyNumberFormat="1" applyFont="1" applyFill="1" applyBorder="1"/>
    <xf numFmtId="167" fontId="20" fillId="13" borderId="2" xfId="2" applyNumberFormat="1" applyFont="1" applyFill="1" applyBorder="1"/>
    <xf numFmtId="4" fontId="20" fillId="13" borderId="0" xfId="2" applyNumberFormat="1" applyFont="1" applyFill="1"/>
    <xf numFmtId="167" fontId="20" fillId="13" borderId="0" xfId="2" applyNumberFormat="1" applyFont="1" applyFill="1"/>
    <xf numFmtId="4" fontId="20" fillId="0" borderId="0" xfId="2" applyNumberFormat="1" applyFont="1"/>
    <xf numFmtId="167" fontId="20" fillId="0" borderId="0" xfId="2" applyNumberFormat="1" applyFont="1"/>
    <xf numFmtId="0" fontId="5" fillId="5" borderId="3" xfId="2" applyFont="1" applyFill="1" applyBorder="1" applyAlignment="1" applyProtection="1">
      <alignment horizontal="center"/>
    </xf>
    <xf numFmtId="0" fontId="5" fillId="5" borderId="4" xfId="2" applyFont="1" applyFill="1" applyBorder="1" applyAlignment="1" applyProtection="1">
      <alignment horizontal="center"/>
    </xf>
    <xf numFmtId="0" fontId="22" fillId="14" borderId="1" xfId="2" applyFont="1" applyFill="1" applyBorder="1" applyAlignment="1" applyProtection="1">
      <alignment horizontal="left"/>
      <protection locked="0"/>
    </xf>
    <xf numFmtId="0" fontId="22" fillId="14" borderId="15" xfId="2" applyFont="1" applyFill="1" applyBorder="1" applyAlignment="1" applyProtection="1">
      <alignment horizontal="left"/>
      <protection locked="0"/>
    </xf>
    <xf numFmtId="0" fontId="24" fillId="2" borderId="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4" fillId="0" borderId="1" xfId="1" applyBorder="1" applyAlignment="1" applyProtection="1"/>
    <xf numFmtId="0" fontId="0" fillId="0" borderId="1" xfId="0" applyBorder="1" applyAlignment="1">
      <alignment horizontal="right"/>
    </xf>
    <xf numFmtId="0" fontId="0" fillId="0" borderId="0" xfId="0" applyAlignment="1">
      <alignment wrapText="1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12" xfId="0" applyBorder="1"/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NumberFormat="1"/>
    <xf numFmtId="0" fontId="17" fillId="10" borderId="22" xfId="2" applyFont="1" applyFill="1" applyBorder="1" applyAlignment="1">
      <alignment vertical="center"/>
    </xf>
    <xf numFmtId="0" fontId="17" fillId="10" borderId="20" xfId="2" applyFont="1" applyFill="1" applyBorder="1" applyAlignment="1">
      <alignment vertical="center"/>
    </xf>
    <xf numFmtId="0" fontId="17" fillId="10" borderId="23" xfId="2" applyFont="1" applyFill="1" applyBorder="1" applyAlignment="1">
      <alignment vertical="center"/>
    </xf>
    <xf numFmtId="0" fontId="16" fillId="0" borderId="0" xfId="2" applyFont="1" applyAlignment="1">
      <alignment vertical="center" wrapText="1"/>
    </xf>
    <xf numFmtId="0" fontId="15" fillId="9" borderId="10" xfId="2" applyFont="1" applyFill="1" applyBorder="1" applyAlignment="1">
      <alignment vertical="center" wrapText="1"/>
    </xf>
    <xf numFmtId="0" fontId="15" fillId="9" borderId="11" xfId="2" applyFont="1" applyFill="1" applyBorder="1" applyAlignment="1">
      <alignment vertical="center" wrapText="1"/>
    </xf>
    <xf numFmtId="0" fontId="15" fillId="9" borderId="13" xfId="2" applyFont="1" applyFill="1" applyBorder="1" applyAlignment="1">
      <alignment vertical="center" wrapText="1"/>
    </xf>
    <xf numFmtId="0" fontId="15" fillId="9" borderId="14" xfId="2" applyFont="1" applyFill="1" applyBorder="1" applyAlignment="1">
      <alignment vertical="center" wrapText="1"/>
    </xf>
  </cellXfs>
  <cellStyles count="7">
    <cellStyle name="Euro" xfId="6"/>
    <cellStyle name="Hipervínculo" xfId="1" builtinId="8"/>
    <cellStyle name="Hipervínculo 2" xfId="4"/>
    <cellStyle name="Moneda 2" xfId="3"/>
    <cellStyle name="Normal" xfId="0" builtinId="0"/>
    <cellStyle name="Normal 2" xfId="2"/>
    <cellStyle name="Normal 2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76199</xdr:rowOff>
    </xdr:from>
    <xdr:to>
      <xdr:col>5</xdr:col>
      <xdr:colOff>780684</xdr:colOff>
      <xdr:row>8</xdr:row>
      <xdr:rowOff>19050</xdr:rowOff>
    </xdr:to>
    <xdr:grpSp>
      <xdr:nvGrpSpPr>
        <xdr:cNvPr id="2" name="1 Grupo"/>
        <xdr:cNvGrpSpPr/>
      </xdr:nvGrpSpPr>
      <xdr:grpSpPr>
        <a:xfrm>
          <a:off x="390525" y="76199"/>
          <a:ext cx="6009909" cy="2343151"/>
          <a:chOff x="1181100" y="9525"/>
          <a:chExt cx="2933334" cy="1114286"/>
        </a:xfrm>
      </xdr:grpSpPr>
      <xdr:pic>
        <xdr:nvPicPr>
          <xdr:cNvPr id="3" name="2 Imagen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81100" y="9525"/>
            <a:ext cx="2933334" cy="1114286"/>
          </a:xfrm>
          <a:prstGeom prst="rect">
            <a:avLst/>
          </a:prstGeom>
        </xdr:spPr>
      </xdr:pic>
      <xdr:sp macro="" textlink="$F$31">
        <xdr:nvSpPr>
          <xdr:cNvPr id="4" name="poledisplay"/>
          <xdr:cNvSpPr txBox="1"/>
        </xdr:nvSpPr>
        <xdr:spPr>
          <a:xfrm>
            <a:off x="1485900" y="276225"/>
            <a:ext cx="2295525" cy="581025"/>
          </a:xfrm>
          <a:prstGeom prst="rect">
            <a:avLst/>
          </a:prstGeom>
          <a:ln/>
        </xdr:spPr>
        <xdr:style>
          <a:lnRef idx="1">
            <a:schemeClr val="dk1"/>
          </a:lnRef>
          <a:fillRef idx="3">
            <a:schemeClr val="dk1"/>
          </a:fillRef>
          <a:effectRef idx="2">
            <a:schemeClr val="dk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fld id="{235FEEC0-1BBC-49EE-A9F5-429134384960}" type="TxLink">
              <a:rPr lang="es-CO" sz="6000"/>
              <a:pPr algn="ctr"/>
              <a:t> $ -   </a:t>
            </a:fld>
            <a:endParaRPr lang="es-CO" sz="6000"/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85725</xdr:rowOff>
        </xdr:from>
        <xdr:to>
          <xdr:col>7</xdr:col>
          <xdr:colOff>1504950</xdr:colOff>
          <xdr:row>10</xdr:row>
          <xdr:rowOff>238125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0</xdr:rowOff>
        </xdr:from>
        <xdr:to>
          <xdr:col>36</xdr:col>
          <xdr:colOff>0</xdr:colOff>
          <xdr:row>4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0</xdr:row>
      <xdr:rowOff>47625</xdr:rowOff>
    </xdr:from>
    <xdr:to>
      <xdr:col>4</xdr:col>
      <xdr:colOff>581025</xdr:colOff>
      <xdr:row>0</xdr:row>
      <xdr:rowOff>342900</xdr:rowOff>
    </xdr:to>
    <xdr:sp macro="[0]!busqueda" textlink="">
      <xdr:nvSpPr>
        <xdr:cNvPr id="2" name="btnBusqueda"/>
        <xdr:cNvSpPr/>
      </xdr:nvSpPr>
      <xdr:spPr>
        <a:xfrm>
          <a:off x="2686050" y="47625"/>
          <a:ext cx="1323975" cy="2952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Buscar....</a:t>
          </a:r>
        </a:p>
      </xdr:txBody>
    </xdr:sp>
    <xdr:clientData/>
  </xdr:twoCellAnchor>
  <xdr:twoCellAnchor>
    <xdr:from>
      <xdr:col>4</xdr:col>
      <xdr:colOff>742950</xdr:colOff>
      <xdr:row>0</xdr:row>
      <xdr:rowOff>47625</xdr:rowOff>
    </xdr:from>
    <xdr:to>
      <xdr:col>6</xdr:col>
      <xdr:colOff>352425</xdr:colOff>
      <xdr:row>0</xdr:row>
      <xdr:rowOff>342900</xdr:rowOff>
    </xdr:to>
    <xdr:sp macro="[0]!btnVertodos_Haga_clic_en" textlink="">
      <xdr:nvSpPr>
        <xdr:cNvPr id="3" name="btnVertodos"/>
        <xdr:cNvSpPr/>
      </xdr:nvSpPr>
      <xdr:spPr>
        <a:xfrm>
          <a:off x="4105275" y="47625"/>
          <a:ext cx="1438275" cy="2952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Ver </a:t>
          </a:r>
          <a:r>
            <a:rPr lang="es-ES" sz="1100" baseline="0"/>
            <a:t> Todos...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/>
  </sheetPr>
  <dimension ref="A1:AG741"/>
  <sheetViews>
    <sheetView showGridLines="0" topLeftCell="C1" workbookViewId="0">
      <selection activeCell="K9" sqref="K9"/>
    </sheetView>
  </sheetViews>
  <sheetFormatPr baseColWidth="10" defaultRowHeight="15" x14ac:dyDescent="0.25"/>
  <cols>
    <col min="1" max="1" width="2.125" style="7" customWidth="1"/>
    <col min="2" max="2" width="12.75" style="11" customWidth="1"/>
    <col min="3" max="3" width="36.625" style="11" customWidth="1"/>
    <col min="4" max="4" width="10.875" style="10" customWidth="1"/>
    <col min="5" max="5" width="11.375" style="10" customWidth="1"/>
    <col min="6" max="6" width="13.875" style="10" customWidth="1"/>
    <col min="7" max="7" width="9.5" style="7" customWidth="1"/>
    <col min="8" max="8" width="21.125" style="7" customWidth="1"/>
    <col min="9" max="9" width="4.375" style="8" customWidth="1"/>
    <col min="10" max="10" width="11" style="43"/>
    <col min="11" max="11" width="32.875" style="43" customWidth="1"/>
    <col min="12" max="12" width="10.375" style="10" hidden="1" customWidth="1"/>
    <col min="13" max="17" width="0" style="10" hidden="1" customWidth="1"/>
    <col min="18" max="18" width="16" style="10" customWidth="1"/>
    <col min="19" max="19" width="0" style="10" hidden="1" customWidth="1"/>
    <col min="20" max="22" width="11" style="10"/>
    <col min="23" max="23" width="23.5" style="11" customWidth="1"/>
    <col min="24" max="25" width="11" style="10"/>
    <col min="26" max="26" width="11" style="10" bestFit="1" customWidth="1"/>
    <col min="27" max="32" width="11" style="10"/>
    <col min="33" max="33" width="10.875" style="10" bestFit="1" customWidth="1"/>
    <col min="34" max="16384" width="11" style="10"/>
  </cols>
  <sheetData>
    <row r="1" spans="2:33" x14ac:dyDescent="0.25">
      <c r="B1" s="7"/>
      <c r="C1" s="7"/>
      <c r="D1" s="7"/>
      <c r="E1" s="7"/>
      <c r="F1" s="7"/>
      <c r="J1" s="9"/>
      <c r="K1" s="9"/>
      <c r="L1" s="8">
        <v>1</v>
      </c>
      <c r="M1" s="8">
        <f ca="1">YEAR(H3)</f>
        <v>2013</v>
      </c>
      <c r="N1" s="8">
        <v>1</v>
      </c>
      <c r="O1" s="8" t="s">
        <v>55</v>
      </c>
      <c r="P1" s="8">
        <v>1</v>
      </c>
      <c r="Q1" s="8" t="s">
        <v>56</v>
      </c>
      <c r="R1" s="8"/>
    </row>
    <row r="2" spans="2:33" ht="36" x14ac:dyDescent="0.25">
      <c r="B2" s="7"/>
      <c r="C2" s="7"/>
      <c r="D2" s="7"/>
      <c r="E2" s="7"/>
      <c r="F2" s="7"/>
      <c r="G2" s="12" t="s">
        <v>57</v>
      </c>
      <c r="H2" s="13">
        <v>128</v>
      </c>
      <c r="J2" s="9"/>
      <c r="K2" s="9"/>
      <c r="L2" s="8"/>
      <c r="M2" s="8"/>
      <c r="N2" s="8"/>
      <c r="O2" s="8"/>
      <c r="P2" s="8"/>
      <c r="Q2" s="8"/>
      <c r="R2" s="8"/>
      <c r="AF2" s="10" t="s">
        <v>57</v>
      </c>
      <c r="AG2" s="10">
        <v>127</v>
      </c>
    </row>
    <row r="3" spans="2:33" x14ac:dyDescent="0.25">
      <c r="B3" s="7"/>
      <c r="C3" s="7"/>
      <c r="D3" s="7"/>
      <c r="E3" s="14"/>
      <c r="F3" s="15"/>
      <c r="G3" s="16" t="s">
        <v>58</v>
      </c>
      <c r="H3" s="17">
        <f ca="1">TODAY()</f>
        <v>41615</v>
      </c>
      <c r="J3" s="9"/>
      <c r="K3" s="9"/>
      <c r="L3" s="8" t="str">
        <f>VLOOKUP(L1,P1:Q3,2,0)</f>
        <v>Contado</v>
      </c>
      <c r="M3" s="8" t="str">
        <f ca="1">VLOOKUP(MONTH(H3),N1:O16,2,0)</f>
        <v>Diciembre</v>
      </c>
      <c r="N3" s="8">
        <v>2</v>
      </c>
      <c r="O3" s="8" t="s">
        <v>59</v>
      </c>
      <c r="P3" s="8">
        <v>2</v>
      </c>
      <c r="Q3" s="8" t="s">
        <v>60</v>
      </c>
      <c r="R3" s="18"/>
      <c r="AF3" s="10" t="s">
        <v>58</v>
      </c>
      <c r="AG3" s="19">
        <v>41601</v>
      </c>
    </row>
    <row r="4" spans="2:33" x14ac:dyDescent="0.25">
      <c r="B4" s="7"/>
      <c r="C4" s="7"/>
      <c r="D4" s="7"/>
      <c r="E4" s="7"/>
      <c r="F4" s="7"/>
      <c r="G4" s="20" t="s">
        <v>61</v>
      </c>
      <c r="H4" s="21">
        <f ca="1">NOW()</f>
        <v>41615.099544791665</v>
      </c>
      <c r="J4" s="9"/>
      <c r="K4" s="9"/>
      <c r="L4" s="8"/>
      <c r="M4" s="8">
        <f ca="1">DAY(H3)</f>
        <v>7</v>
      </c>
      <c r="N4" s="8">
        <v>3</v>
      </c>
      <c r="O4" s="8" t="s">
        <v>62</v>
      </c>
      <c r="P4" s="8"/>
      <c r="Q4" s="8"/>
      <c r="R4" s="8"/>
      <c r="AF4" s="10" t="s">
        <v>61</v>
      </c>
      <c r="AG4" s="22">
        <v>41601.657000115738</v>
      </c>
    </row>
    <row r="5" spans="2:33" x14ac:dyDescent="0.25">
      <c r="B5" s="23"/>
      <c r="C5" s="23"/>
      <c r="D5" s="7"/>
      <c r="E5" s="7"/>
      <c r="F5" s="7"/>
      <c r="J5" s="24"/>
      <c r="K5" s="24"/>
      <c r="L5" s="8"/>
      <c r="M5" s="8"/>
      <c r="N5" s="8"/>
      <c r="O5" s="8"/>
      <c r="P5" s="8"/>
      <c r="Q5" s="8"/>
      <c r="R5" s="8"/>
      <c r="W5" s="25"/>
    </row>
    <row r="6" spans="2:33" x14ac:dyDescent="0.25">
      <c r="B6" s="23"/>
      <c r="C6" s="23"/>
      <c r="D6" s="7"/>
      <c r="E6" s="7"/>
      <c r="F6" s="7"/>
      <c r="J6" s="24"/>
      <c r="K6" s="24"/>
      <c r="L6" s="8"/>
      <c r="M6" s="8"/>
      <c r="N6" s="8"/>
      <c r="O6" s="8"/>
      <c r="P6" s="8"/>
      <c r="Q6" s="8"/>
      <c r="R6" s="8"/>
      <c r="W6" s="25"/>
    </row>
    <row r="7" spans="2:33" ht="42" customHeight="1" thickBot="1" x14ac:dyDescent="0.3">
      <c r="B7" s="23"/>
      <c r="C7" s="23"/>
      <c r="D7" s="7"/>
      <c r="E7" s="7"/>
      <c r="F7" s="7"/>
      <c r="J7" s="26"/>
      <c r="K7" s="26"/>
      <c r="L7" s="8"/>
      <c r="M7" s="8"/>
      <c r="N7" s="8"/>
      <c r="O7" s="8"/>
      <c r="P7" s="8"/>
      <c r="Q7" s="8"/>
      <c r="R7" s="8"/>
      <c r="W7" s="25"/>
    </row>
    <row r="8" spans="2:33" ht="36" customHeight="1" x14ac:dyDescent="0.25">
      <c r="B8" s="7"/>
      <c r="C8" s="7"/>
      <c r="D8" s="7"/>
      <c r="E8" s="7"/>
      <c r="F8" s="7"/>
      <c r="J8" s="104" t="s">
        <v>63</v>
      </c>
      <c r="K8" s="105"/>
      <c r="L8" s="8"/>
      <c r="M8" s="8"/>
      <c r="N8" s="8">
        <v>4</v>
      </c>
      <c r="O8" s="8" t="s">
        <v>64</v>
      </c>
      <c r="P8" s="8"/>
      <c r="Q8" s="8"/>
      <c r="R8" s="8"/>
      <c r="W8" s="25"/>
      <c r="Y8" s="27"/>
      <c r="Z8" s="22"/>
    </row>
    <row r="9" spans="2:33" ht="41.25" customHeight="1" thickBot="1" x14ac:dyDescent="0.3">
      <c r="B9" s="28" t="s">
        <v>65</v>
      </c>
      <c r="C9" s="28" t="s">
        <v>66</v>
      </c>
      <c r="D9" s="28" t="s">
        <v>67</v>
      </c>
      <c r="E9" s="28" t="s">
        <v>68</v>
      </c>
      <c r="F9" s="28" t="s">
        <v>69</v>
      </c>
      <c r="J9" s="29" t="s">
        <v>65</v>
      </c>
      <c r="K9" s="30" t="s">
        <v>66</v>
      </c>
      <c r="L9" s="8"/>
      <c r="M9" s="8"/>
      <c r="N9" s="8">
        <v>5</v>
      </c>
      <c r="O9" s="8" t="s">
        <v>70</v>
      </c>
      <c r="P9" s="8"/>
      <c r="Q9" s="8"/>
      <c r="R9" s="8"/>
      <c r="W9" s="31"/>
      <c r="Y9" s="19"/>
      <c r="Z9" s="22"/>
      <c r="AA9" s="10" t="s">
        <v>65</v>
      </c>
      <c r="AB9" s="10" t="s">
        <v>66</v>
      </c>
      <c r="AC9" s="10" t="s">
        <v>67</v>
      </c>
      <c r="AD9" s="10" t="s">
        <v>68</v>
      </c>
      <c r="AE9" s="10" t="s">
        <v>69</v>
      </c>
    </row>
    <row r="10" spans="2:33" ht="24.75" customHeight="1" thickBot="1" x14ac:dyDescent="0.3">
      <c r="B10" s="32"/>
      <c r="C10" s="33" t="str">
        <f t="shared" ref="C10:C30" si="0">IF(B10="","",VLOOKUP(B10,$J$10:$K$601,2,0))</f>
        <v/>
      </c>
      <c r="D10" s="32"/>
      <c r="E10" s="33" t="str">
        <f>IF(B10="","",VLOOKUP(B10,Compras!D:I,6,0))</f>
        <v/>
      </c>
      <c r="F10" s="33" t="str">
        <f>IF(E10="","",IF(D10="","",E10*D10))</f>
        <v/>
      </c>
      <c r="J10" s="34">
        <f>IF(Inventario!A2="","",Inventario!A2)</f>
        <v>1</v>
      </c>
      <c r="K10" s="35" t="str">
        <f>IF(Inventario!B2="","",Inventario!B2)</f>
        <v>PAN BOLLITO</v>
      </c>
      <c r="N10" s="10">
        <v>6</v>
      </c>
      <c r="O10" s="10" t="s">
        <v>71</v>
      </c>
      <c r="S10" s="10" t="e">
        <f>RANK(B11,J10:K605,1)+2</f>
        <v>#N/A</v>
      </c>
      <c r="W10" s="31"/>
      <c r="AA10" s="10">
        <v>4</v>
      </c>
      <c r="AB10" s="10" t="s">
        <v>72</v>
      </c>
      <c r="AC10" s="10">
        <v>2</v>
      </c>
      <c r="AD10" s="10">
        <v>18</v>
      </c>
      <c r="AE10" s="10">
        <v>36</v>
      </c>
    </row>
    <row r="11" spans="2:33" ht="23.25" customHeight="1" thickBot="1" x14ac:dyDescent="0.3">
      <c r="B11" s="32"/>
      <c r="C11" s="33" t="str">
        <f t="shared" si="0"/>
        <v/>
      </c>
      <c r="D11" s="32"/>
      <c r="E11" s="33" t="str">
        <f>IF(B11="","",VLOOKUP(B11,Compras!D:I,6,0))</f>
        <v/>
      </c>
      <c r="F11" s="33" t="str">
        <f>IF(E11="","",IF(D11="","",E11*D11))</f>
        <v/>
      </c>
      <c r="J11" s="34">
        <f>IF(Inventario!A3="","",Inventario!A3)</f>
        <v>2</v>
      </c>
      <c r="K11" s="35" t="str">
        <f>IF(Inventario!B3="","",Inventario!B3)</f>
        <v>PAN MIÑON</v>
      </c>
      <c r="N11" s="10">
        <v>7</v>
      </c>
      <c r="O11" s="10" t="s">
        <v>73</v>
      </c>
      <c r="W11" s="31"/>
      <c r="AA11" s="10">
        <v>6</v>
      </c>
      <c r="AB11" s="10" t="s">
        <v>74</v>
      </c>
      <c r="AC11" s="10">
        <v>1</v>
      </c>
      <c r="AD11" s="10">
        <v>9</v>
      </c>
      <c r="AE11" s="10">
        <v>9</v>
      </c>
    </row>
    <row r="12" spans="2:33" ht="21.75" customHeight="1" thickBot="1" x14ac:dyDescent="0.3">
      <c r="B12" s="32"/>
      <c r="C12" s="33" t="str">
        <f t="shared" si="0"/>
        <v/>
      </c>
      <c r="D12" s="32"/>
      <c r="E12" s="33" t="str">
        <f>IF(B12="","",VLOOKUP(B12,Compras!D:I,6,0))</f>
        <v/>
      </c>
      <c r="F12" s="33" t="str">
        <f>IF(E12="","",IF(D12="","",E12*D12))</f>
        <v/>
      </c>
      <c r="J12" s="34">
        <f>IF(Inventario!A4="","",Inventario!A4)</f>
        <v>3</v>
      </c>
      <c r="K12" s="35" t="str">
        <f>IF(Inventario!B4="","",Inventario!B4)</f>
        <v>PAN SANGUCHERO</v>
      </c>
      <c r="N12" s="10">
        <v>8</v>
      </c>
      <c r="O12" s="10" t="s">
        <v>75</v>
      </c>
      <c r="W12" s="31"/>
      <c r="AB12" s="10" t="s">
        <v>76</v>
      </c>
      <c r="AD12" s="10" t="s">
        <v>76</v>
      </c>
      <c r="AE12" s="10" t="s">
        <v>76</v>
      </c>
    </row>
    <row r="13" spans="2:33" ht="24.75" customHeight="1" thickBot="1" x14ac:dyDescent="0.4">
      <c r="B13" s="32"/>
      <c r="C13" s="33" t="str">
        <f t="shared" si="0"/>
        <v/>
      </c>
      <c r="D13" s="32"/>
      <c r="E13" s="33" t="str">
        <f>IF(B13="","",VLOOKUP(B13,Compras!D:I,6,0))</f>
        <v/>
      </c>
      <c r="F13" s="33" t="str">
        <f>IF(E13="","",IF(D13="","",E13*D13))</f>
        <v/>
      </c>
      <c r="G13" s="14" t="s">
        <v>77</v>
      </c>
      <c r="H13" s="36"/>
      <c r="J13" s="34">
        <f>IF(Inventario!A5="","",Inventario!A5)</f>
        <v>4</v>
      </c>
      <c r="K13" s="35" t="str">
        <f>IF(Inventario!B5="","",Inventario!B5)</f>
        <v>PAN SALVADO</v>
      </c>
      <c r="N13" s="10">
        <v>9</v>
      </c>
      <c r="O13" s="10" t="s">
        <v>78</v>
      </c>
      <c r="W13" s="31"/>
      <c r="AB13" s="10" t="s">
        <v>76</v>
      </c>
      <c r="AD13" s="10" t="s">
        <v>76</v>
      </c>
      <c r="AE13" s="10" t="s">
        <v>76</v>
      </c>
      <c r="AF13" s="10" t="s">
        <v>77</v>
      </c>
      <c r="AG13" s="10">
        <v>50</v>
      </c>
    </row>
    <row r="14" spans="2:33" ht="20.25" customHeight="1" thickBot="1" x14ac:dyDescent="0.3">
      <c r="B14" s="32"/>
      <c r="C14" s="33" t="str">
        <f t="shared" si="0"/>
        <v/>
      </c>
      <c r="D14" s="32"/>
      <c r="E14" s="33" t="str">
        <f>IF(B14="","",VLOOKUP(B14,Compras!D:I,6,0))</f>
        <v/>
      </c>
      <c r="F14" s="33" t="str">
        <f>IF(E14="","",IF(D14="","",E14*D14))</f>
        <v/>
      </c>
      <c r="G14" s="14"/>
      <c r="J14" s="34">
        <f>IF(Inventario!A6="","",Inventario!A6)</f>
        <v>5</v>
      </c>
      <c r="K14" s="35" t="str">
        <f>IF(Inventario!B6="","",Inventario!B6)</f>
        <v>PAN DE PANCHO</v>
      </c>
      <c r="N14" s="10">
        <v>10</v>
      </c>
      <c r="O14" s="10" t="s">
        <v>79</v>
      </c>
      <c r="T14" s="37"/>
      <c r="W14" s="31"/>
      <c r="AB14" s="10" t="s">
        <v>76</v>
      </c>
      <c r="AD14" s="10" t="s">
        <v>76</v>
      </c>
      <c r="AE14" s="10" t="s">
        <v>76</v>
      </c>
    </row>
    <row r="15" spans="2:33" ht="21" customHeight="1" thickBot="1" x14ac:dyDescent="0.4">
      <c r="B15" s="32"/>
      <c r="C15" s="33" t="str">
        <f t="shared" si="0"/>
        <v/>
      </c>
      <c r="D15" s="32"/>
      <c r="E15" s="33" t="str">
        <f>IF(B15="","",VLOOKUP(B15,Compras!D:I,6,0))</f>
        <v/>
      </c>
      <c r="F15" s="33" t="str">
        <f t="shared" ref="F15:F30" si="1">IF(E15="","",IF(D15="","",E15*D15))</f>
        <v/>
      </c>
      <c r="G15" s="14" t="s">
        <v>80</v>
      </c>
      <c r="H15" s="38">
        <f>H13-F31</f>
        <v>0</v>
      </c>
      <c r="J15" s="34">
        <f>IF(Inventario!A7="","",Inventario!A7)</f>
        <v>6</v>
      </c>
      <c r="K15" s="35" t="str">
        <f>IF(Inventario!B7="","",Inventario!B7)</f>
        <v xml:space="preserve">PAN DE HAMBURGUESA X 6 </v>
      </c>
      <c r="N15" s="10">
        <v>11</v>
      </c>
      <c r="O15" s="10" t="s">
        <v>81</v>
      </c>
      <c r="W15" s="31"/>
      <c r="AB15" s="10" t="s">
        <v>76</v>
      </c>
      <c r="AD15" s="10" t="s">
        <v>76</v>
      </c>
      <c r="AE15" s="10" t="s">
        <v>76</v>
      </c>
      <c r="AF15" s="10" t="s">
        <v>80</v>
      </c>
      <c r="AG15" s="10">
        <v>5</v>
      </c>
    </row>
    <row r="16" spans="2:33" ht="20.25" customHeight="1" thickBot="1" x14ac:dyDescent="0.3">
      <c r="B16" s="32"/>
      <c r="C16" s="33" t="str">
        <f t="shared" si="0"/>
        <v/>
      </c>
      <c r="D16" s="32"/>
      <c r="E16" s="33" t="str">
        <f>IF(B16="","",VLOOKUP(B16,Compras!D:I,6,0))</f>
        <v/>
      </c>
      <c r="F16" s="33" t="str">
        <f t="shared" si="1"/>
        <v/>
      </c>
      <c r="J16" s="34">
        <f>IF(Inventario!A8="","",Inventario!A8)</f>
        <v>7</v>
      </c>
      <c r="K16" s="35" t="str">
        <f>IF(Inventario!B8="","",Inventario!B8)</f>
        <v>PAN ARABE X4</v>
      </c>
      <c r="N16" s="10">
        <v>12</v>
      </c>
      <c r="O16" s="10" t="s">
        <v>82</v>
      </c>
      <c r="W16" s="31"/>
      <c r="AB16" s="10" t="s">
        <v>76</v>
      </c>
      <c r="AD16" s="10" t="s">
        <v>76</v>
      </c>
      <c r="AE16" s="10" t="s">
        <v>76</v>
      </c>
    </row>
    <row r="17" spans="2:31" ht="22.5" customHeight="1" thickBot="1" x14ac:dyDescent="0.3">
      <c r="B17" s="32"/>
      <c r="C17" s="33" t="str">
        <f t="shared" si="0"/>
        <v/>
      </c>
      <c r="D17" s="32"/>
      <c r="E17" s="33" t="str">
        <f>IF(B17="","",VLOOKUP(B17,Compras!D:I,6,0))</f>
        <v/>
      </c>
      <c r="F17" s="33" t="str">
        <f t="shared" si="1"/>
        <v/>
      </c>
      <c r="J17" s="34">
        <f>IF(Inventario!A9="","",Inventario!A9)</f>
        <v>8</v>
      </c>
      <c r="K17" s="35" t="str">
        <f>IF(Inventario!B9="","",Inventario!B9)</f>
        <v>PAN DE MIGA X 12</v>
      </c>
      <c r="W17" s="31"/>
      <c r="AB17" s="10" t="s">
        <v>76</v>
      </c>
      <c r="AD17" s="10" t="s">
        <v>76</v>
      </c>
      <c r="AE17" s="10" t="s">
        <v>76</v>
      </c>
    </row>
    <row r="18" spans="2:31" ht="21" customHeight="1" thickBot="1" x14ac:dyDescent="0.3">
      <c r="B18" s="32"/>
      <c r="C18" s="33" t="str">
        <f t="shared" si="0"/>
        <v/>
      </c>
      <c r="D18" s="32"/>
      <c r="E18" s="33" t="str">
        <f>IF(B18="","",VLOOKUP(B18,Compras!D:I,6,0))</f>
        <v/>
      </c>
      <c r="F18" s="33" t="str">
        <f t="shared" si="1"/>
        <v/>
      </c>
      <c r="J18" s="34">
        <f>IF(Inventario!A10="","",Inventario!A10)</f>
        <v>9</v>
      </c>
      <c r="K18" s="35" t="str">
        <f>IF(Inventario!B10="","",Inventario!B10)</f>
        <v>PAN RALLADO X 500 G</v>
      </c>
      <c r="W18" s="31"/>
      <c r="AB18" s="10" t="s">
        <v>76</v>
      </c>
      <c r="AD18" s="10" t="s">
        <v>76</v>
      </c>
      <c r="AE18" s="10" t="s">
        <v>76</v>
      </c>
    </row>
    <row r="19" spans="2:31" ht="22.5" customHeight="1" thickBot="1" x14ac:dyDescent="0.3">
      <c r="B19" s="32"/>
      <c r="C19" s="33" t="str">
        <f t="shared" si="0"/>
        <v/>
      </c>
      <c r="D19" s="32"/>
      <c r="E19" s="33" t="str">
        <f>IF(B19="","",VLOOKUP(B19,Compras!D:I,6,0))</f>
        <v/>
      </c>
      <c r="F19" s="33" t="str">
        <f t="shared" si="1"/>
        <v/>
      </c>
      <c r="J19" s="34">
        <f>IF(Inventario!A11="","",Inventario!A11)</f>
        <v>10</v>
      </c>
      <c r="K19" s="35" t="str">
        <f>IF(Inventario!B11="","",Inventario!B11)</f>
        <v>PAN DULCE ECONOMICO</v>
      </c>
      <c r="W19" s="31"/>
      <c r="AB19" s="10" t="s">
        <v>76</v>
      </c>
      <c r="AD19" s="10" t="s">
        <v>76</v>
      </c>
      <c r="AE19" s="10" t="s">
        <v>76</v>
      </c>
    </row>
    <row r="20" spans="2:31" ht="21" customHeight="1" thickBot="1" x14ac:dyDescent="0.3">
      <c r="B20" s="32"/>
      <c r="C20" s="33" t="str">
        <f t="shared" si="0"/>
        <v/>
      </c>
      <c r="D20" s="32"/>
      <c r="E20" s="33" t="str">
        <f>IF(B20="","",VLOOKUP(B20,Compras!D:I,6,0))</f>
        <v/>
      </c>
      <c r="F20" s="33" t="str">
        <f t="shared" si="1"/>
        <v/>
      </c>
      <c r="J20" s="34">
        <f>IF(Inventario!A12="","",Inventario!A12)</f>
        <v>11</v>
      </c>
      <c r="K20" s="35" t="str">
        <f>IF(Inventario!B12="","",Inventario!B12)</f>
        <v>PAN DULCE ESPECIAL</v>
      </c>
      <c r="W20" s="31"/>
      <c r="AB20" s="10" t="s">
        <v>76</v>
      </c>
      <c r="AD20" s="10" t="s">
        <v>76</v>
      </c>
      <c r="AE20" s="10" t="s">
        <v>76</v>
      </c>
    </row>
    <row r="21" spans="2:31" ht="26.25" customHeight="1" thickBot="1" x14ac:dyDescent="0.3">
      <c r="B21" s="32"/>
      <c r="C21" s="33" t="str">
        <f t="shared" si="0"/>
        <v/>
      </c>
      <c r="D21" s="32"/>
      <c r="E21" s="33" t="str">
        <f>IF(B21="","",VLOOKUP(B21,Compras!D:I,6,0))</f>
        <v/>
      </c>
      <c r="F21" s="33" t="str">
        <f t="shared" si="1"/>
        <v/>
      </c>
      <c r="J21" s="34">
        <f>IF(Inventario!A13="","",Inventario!A13)</f>
        <v>12</v>
      </c>
      <c r="K21" s="35" t="str">
        <f>IF(Inventario!B13="","",Inventario!B13)</f>
        <v>PANETON ECONOMICO</v>
      </c>
      <c r="W21" s="31"/>
      <c r="AB21" s="10" t="s">
        <v>76</v>
      </c>
      <c r="AD21" s="10" t="s">
        <v>76</v>
      </c>
      <c r="AE21" s="10" t="s">
        <v>76</v>
      </c>
    </row>
    <row r="22" spans="2:31" ht="21.75" customHeight="1" thickBot="1" x14ac:dyDescent="0.3">
      <c r="B22" s="32"/>
      <c r="C22" s="33" t="str">
        <f t="shared" si="0"/>
        <v/>
      </c>
      <c r="D22" s="32"/>
      <c r="E22" s="33" t="str">
        <f>IF(B22="","",VLOOKUP(B22,Compras!D:I,6,0))</f>
        <v/>
      </c>
      <c r="F22" s="33" t="str">
        <f t="shared" si="1"/>
        <v/>
      </c>
      <c r="J22" s="34">
        <f>IF(Inventario!A14="","",Inventario!A14)</f>
        <v>13</v>
      </c>
      <c r="K22" s="35" t="str">
        <f>IF(Inventario!B14="","",Inventario!B14)</f>
        <v>PANETON ESPECIAL</v>
      </c>
      <c r="W22" s="31"/>
      <c r="AB22" s="10" t="s">
        <v>76</v>
      </c>
      <c r="AD22" s="10" t="s">
        <v>76</v>
      </c>
      <c r="AE22" s="10" t="s">
        <v>76</v>
      </c>
    </row>
    <row r="23" spans="2:31" ht="21" customHeight="1" thickBot="1" x14ac:dyDescent="0.3">
      <c r="B23" s="32"/>
      <c r="C23" s="33" t="str">
        <f t="shared" si="0"/>
        <v/>
      </c>
      <c r="D23" s="32"/>
      <c r="E23" s="33" t="str">
        <f>IF(B23="","",VLOOKUP(B23,Compras!D:I,6,0))</f>
        <v/>
      </c>
      <c r="F23" s="33" t="str">
        <f t="shared" si="1"/>
        <v/>
      </c>
      <c r="J23" s="34">
        <f>IF(Inventario!A15="","",Inventario!A15)</f>
        <v>14</v>
      </c>
      <c r="K23" s="35" t="str">
        <f>IF(Inventario!B15="","",Inventario!B15)</f>
        <v>PREPIZZA X U.</v>
      </c>
      <c r="W23" s="31"/>
      <c r="AB23" s="10" t="s">
        <v>76</v>
      </c>
      <c r="AD23" s="10" t="s">
        <v>76</v>
      </c>
      <c r="AE23" s="10" t="s">
        <v>76</v>
      </c>
    </row>
    <row r="24" spans="2:31" ht="21" customHeight="1" thickBot="1" x14ac:dyDescent="0.3">
      <c r="B24" s="32"/>
      <c r="C24" s="33" t="str">
        <f t="shared" si="0"/>
        <v/>
      </c>
      <c r="D24" s="32"/>
      <c r="E24" s="33" t="str">
        <f>IF(B24="","",VLOOKUP(B24,Compras!D:I,6,0))</f>
        <v/>
      </c>
      <c r="F24" s="33" t="str">
        <f t="shared" si="1"/>
        <v/>
      </c>
      <c r="J24" s="34">
        <f>IF(Inventario!A16="","",Inventario!A16)</f>
        <v>15</v>
      </c>
      <c r="K24" s="35" t="str">
        <f>IF(Inventario!B16="","",Inventario!B16)</f>
        <v>PIZZETAS X DOC</v>
      </c>
      <c r="W24" s="31"/>
      <c r="AB24" s="10" t="s">
        <v>76</v>
      </c>
      <c r="AD24" s="10" t="s">
        <v>76</v>
      </c>
      <c r="AE24" s="10" t="s">
        <v>76</v>
      </c>
    </row>
    <row r="25" spans="2:31" ht="23.25" customHeight="1" thickBot="1" x14ac:dyDescent="0.3">
      <c r="B25" s="32"/>
      <c r="C25" s="33" t="str">
        <f t="shared" si="0"/>
        <v/>
      </c>
      <c r="D25" s="32"/>
      <c r="E25" s="33" t="str">
        <f>IF(B25="","",VLOOKUP(B25,Compras!D:I,6,0))</f>
        <v/>
      </c>
      <c r="F25" s="33" t="str">
        <f t="shared" si="1"/>
        <v/>
      </c>
      <c r="J25" s="34">
        <f>IF(Inventario!A17="","",Inventario!A17)</f>
        <v>16</v>
      </c>
      <c r="K25" s="35" t="str">
        <f>IF(Inventario!B17="","",Inventario!B17)</f>
        <v>PRELISTAS "PALETA Y MUSARELA"</v>
      </c>
      <c r="W25" s="31"/>
      <c r="AB25" s="10" t="s">
        <v>76</v>
      </c>
      <c r="AD25" s="10" t="s">
        <v>76</v>
      </c>
      <c r="AE25" s="10" t="s">
        <v>76</v>
      </c>
    </row>
    <row r="26" spans="2:31" ht="20.25" customHeight="1" thickBot="1" x14ac:dyDescent="0.3">
      <c r="B26" s="32"/>
      <c r="C26" s="33" t="str">
        <f t="shared" si="0"/>
        <v/>
      </c>
      <c r="D26" s="32"/>
      <c r="E26" s="33" t="str">
        <f>IF(B26="","",VLOOKUP(B26,Compras!D:I,6,0))</f>
        <v/>
      </c>
      <c r="F26" s="33" t="str">
        <f t="shared" si="1"/>
        <v/>
      </c>
      <c r="J26" s="34">
        <f>IF(Inventario!A18="","",Inventario!A18)</f>
        <v>17</v>
      </c>
      <c r="K26" s="35" t="str">
        <f>IF(Inventario!B18="","",Inventario!B18)</f>
        <v>TORTITA CHATITAS</v>
      </c>
      <c r="W26" s="31"/>
      <c r="AB26" s="10" t="s">
        <v>76</v>
      </c>
      <c r="AD26" s="10" t="s">
        <v>76</v>
      </c>
      <c r="AE26" s="10" t="s">
        <v>76</v>
      </c>
    </row>
    <row r="27" spans="2:31" ht="23.25" customHeight="1" thickBot="1" x14ac:dyDescent="0.3">
      <c r="B27" s="32"/>
      <c r="C27" s="33" t="str">
        <f t="shared" si="0"/>
        <v/>
      </c>
      <c r="D27" s="32"/>
      <c r="E27" s="33" t="str">
        <f>IF(B27="","",VLOOKUP(B27,Compras!D:I,6,0))</f>
        <v/>
      </c>
      <c r="F27" s="33" t="str">
        <f t="shared" si="1"/>
        <v/>
      </c>
      <c r="J27" s="34">
        <f>IF(Inventario!A19="","",Inventario!A19)</f>
        <v>18</v>
      </c>
      <c r="K27" s="35" t="str">
        <f>IF(Inventario!B19="","",Inventario!B19)</f>
        <v>TORTITA C/ AZUCAR</v>
      </c>
      <c r="W27" s="31"/>
      <c r="AB27" s="10" t="s">
        <v>76</v>
      </c>
      <c r="AD27" s="10" t="s">
        <v>76</v>
      </c>
      <c r="AE27" s="10" t="s">
        <v>76</v>
      </c>
    </row>
    <row r="28" spans="2:31" ht="23.25" customHeight="1" thickBot="1" x14ac:dyDescent="0.3">
      <c r="B28" s="32"/>
      <c r="C28" s="33" t="str">
        <f t="shared" si="0"/>
        <v/>
      </c>
      <c r="D28" s="32"/>
      <c r="E28" s="33" t="str">
        <f>IF(B28="","",VLOOKUP(B28,Compras!D:I,6,0))</f>
        <v/>
      </c>
      <c r="F28" s="33" t="str">
        <f t="shared" si="1"/>
        <v/>
      </c>
      <c r="J28" s="34">
        <f>IF(Inventario!A20="","",Inventario!A20)</f>
        <v>19</v>
      </c>
      <c r="K28" s="35" t="str">
        <f>IF(Inventario!B20="","",Inventario!B20)</f>
        <v>TORTITA GORDITAS</v>
      </c>
      <c r="W28" s="31"/>
      <c r="AB28" s="10" t="s">
        <v>76</v>
      </c>
      <c r="AD28" s="10" t="s">
        <v>76</v>
      </c>
      <c r="AE28" s="10" t="s">
        <v>76</v>
      </c>
    </row>
    <row r="29" spans="2:31" ht="22.5" customHeight="1" thickBot="1" x14ac:dyDescent="0.3">
      <c r="B29" s="32"/>
      <c r="C29" s="33" t="str">
        <f t="shared" si="0"/>
        <v/>
      </c>
      <c r="D29" s="32"/>
      <c r="E29" s="33" t="str">
        <f>IF(B29="","",VLOOKUP(B29,Compras!D:I,6,0))</f>
        <v/>
      </c>
      <c r="F29" s="33" t="str">
        <f t="shared" si="1"/>
        <v/>
      </c>
      <c r="J29" s="34">
        <f>IF(Inventario!A21="","",Inventario!A21)</f>
        <v>20</v>
      </c>
      <c r="K29" s="35" t="str">
        <f>IF(Inventario!B21="","",Inventario!B21)</f>
        <v>TORTITA HOJANDRES</v>
      </c>
      <c r="W29" s="31"/>
      <c r="AB29" s="10" t="s">
        <v>76</v>
      </c>
      <c r="AD29" s="10" t="s">
        <v>76</v>
      </c>
      <c r="AE29" s="10" t="s">
        <v>76</v>
      </c>
    </row>
    <row r="30" spans="2:31" ht="21" customHeight="1" thickBot="1" x14ac:dyDescent="0.3">
      <c r="B30" s="32"/>
      <c r="C30" s="33" t="str">
        <f t="shared" si="0"/>
        <v/>
      </c>
      <c r="D30" s="32"/>
      <c r="E30" s="33" t="str">
        <f>IF(B30="","",VLOOKUP(B30,Compras!D:I,6,0))</f>
        <v/>
      </c>
      <c r="F30" s="33" t="str">
        <f t="shared" si="1"/>
        <v/>
      </c>
      <c r="J30" s="34">
        <f>IF(Inventario!A22="","",Inventario!A22)</f>
        <v>21</v>
      </c>
      <c r="K30" s="35" t="str">
        <f>IF(Inventario!B22="","",Inventario!B22)</f>
        <v>TORTITA BOLSA  DIA ANTERIOR</v>
      </c>
      <c r="W30" s="31"/>
      <c r="AB30" s="10" t="s">
        <v>76</v>
      </c>
      <c r="AD30" s="10" t="s">
        <v>76</v>
      </c>
      <c r="AE30" s="10" t="s">
        <v>76</v>
      </c>
    </row>
    <row r="31" spans="2:31" ht="22.5" customHeight="1" thickBot="1" x14ac:dyDescent="0.3">
      <c r="B31" s="39"/>
      <c r="C31" s="39"/>
      <c r="D31" s="39"/>
      <c r="E31" s="40" t="s">
        <v>83</v>
      </c>
      <c r="F31" s="41">
        <f>SUM(F10:F30)</f>
        <v>0</v>
      </c>
      <c r="J31" s="34">
        <f>IF(Inventario!A23="","",Inventario!A23)</f>
        <v>22</v>
      </c>
      <c r="K31" s="35" t="str">
        <f>IF(Inventario!B23="","",Inventario!B23)</f>
        <v>TORTA FRITAS</v>
      </c>
      <c r="W31" s="31"/>
      <c r="AD31" s="10" t="s">
        <v>83</v>
      </c>
      <c r="AE31" s="10">
        <v>45</v>
      </c>
    </row>
    <row r="32" spans="2:31" ht="22.5" customHeight="1" thickBot="1" x14ac:dyDescent="0.3">
      <c r="B32" s="42"/>
      <c r="C32" s="42"/>
      <c r="D32" s="7"/>
      <c r="E32" s="7"/>
      <c r="F32" s="7"/>
      <c r="J32" s="34">
        <f>IF(Inventario!A24="","",Inventario!A24)</f>
        <v>23</v>
      </c>
      <c r="K32" s="35" t="str">
        <f>IF(Inventario!B24="","",Inventario!B24)</f>
        <v xml:space="preserve">FACTURAS DE MANTECA </v>
      </c>
      <c r="W32" s="31"/>
    </row>
    <row r="33" spans="2:23" ht="15.75" thickBot="1" x14ac:dyDescent="0.3">
      <c r="B33" s="42"/>
      <c r="C33" s="42"/>
      <c r="D33" s="7"/>
      <c r="E33" s="7"/>
      <c r="F33" s="7"/>
      <c r="J33" s="34">
        <f>IF(Inventario!A25="","",Inventario!A25)</f>
        <v>24</v>
      </c>
      <c r="K33" s="35" t="str">
        <f>IF(Inventario!B25="","",Inventario!B25)</f>
        <v>FACTURASDE HOJALDRE</v>
      </c>
      <c r="W33" s="31"/>
    </row>
    <row r="34" spans="2:23" ht="15.75" thickBot="1" x14ac:dyDescent="0.3">
      <c r="B34" s="42"/>
      <c r="C34" s="42"/>
      <c r="D34" s="7"/>
      <c r="E34" s="7"/>
      <c r="F34" s="7"/>
      <c r="J34" s="34">
        <f>IF(Inventario!A26="","",Inventario!A26)</f>
        <v>25</v>
      </c>
      <c r="K34" s="35" t="str">
        <f>IF(Inventario!B26="","",Inventario!B26)</f>
        <v>FACTURAS ROSQUITOS</v>
      </c>
      <c r="W34" s="31"/>
    </row>
    <row r="35" spans="2:23" ht="15.75" thickBot="1" x14ac:dyDescent="0.3">
      <c r="B35" s="42"/>
      <c r="C35" s="42"/>
      <c r="D35" s="7"/>
      <c r="E35" s="7"/>
      <c r="F35" s="7"/>
      <c r="J35" s="34">
        <f>IF(Inventario!A27="","",Inventario!A27)</f>
        <v>26</v>
      </c>
      <c r="K35" s="35" t="str">
        <f>IF(Inventario!B27="","",Inventario!B27)</f>
        <v>FACTURA BOLSA DIA ANTERIOR</v>
      </c>
      <c r="W35" s="31"/>
    </row>
    <row r="36" spans="2:23" ht="15.75" thickBot="1" x14ac:dyDescent="0.3">
      <c r="B36" s="42"/>
      <c r="C36" s="42"/>
      <c r="D36" s="7"/>
      <c r="E36" s="7"/>
      <c r="F36" s="7"/>
      <c r="J36" s="34">
        <f>IF(Inventario!A28="","",Inventario!A28)</f>
        <v>27</v>
      </c>
      <c r="K36" s="35" t="str">
        <f>IF(Inventario!B28="","",Inventario!B28)</f>
        <v>TARTA DE COCO X DOC</v>
      </c>
      <c r="W36" s="31"/>
    </row>
    <row r="37" spans="2:23" ht="15.75" thickBot="1" x14ac:dyDescent="0.3">
      <c r="B37" s="42"/>
      <c r="C37" s="42"/>
      <c r="D37" s="7"/>
      <c r="E37" s="7"/>
      <c r="F37" s="7"/>
      <c r="J37" s="34">
        <f>IF(Inventario!A29="","",Inventario!A29)</f>
        <v>28</v>
      </c>
      <c r="K37" s="35" t="str">
        <f>IF(Inventario!B29="","",Inventario!B29)</f>
        <v>TARTA DE RICOTA X DOC</v>
      </c>
      <c r="W37" s="31"/>
    </row>
    <row r="38" spans="2:23" ht="15.75" thickBot="1" x14ac:dyDescent="0.3">
      <c r="B38" s="42"/>
      <c r="C38" s="42"/>
      <c r="D38" s="7"/>
      <c r="E38" s="7"/>
      <c r="F38" s="7"/>
      <c r="J38" s="34">
        <f>IF(Inventario!A30="","",Inventario!A30)</f>
        <v>29</v>
      </c>
      <c r="K38" s="35" t="str">
        <f>IF(Inventario!B30="","",Inventario!B30)</f>
        <v>TARTA DE MANZANA X DOC</v>
      </c>
      <c r="W38" s="31"/>
    </row>
    <row r="39" spans="2:23" ht="15.75" thickBot="1" x14ac:dyDescent="0.3">
      <c r="B39" s="42"/>
      <c r="C39" s="42"/>
      <c r="D39" s="7"/>
      <c r="E39" s="7"/>
      <c r="F39" s="7"/>
      <c r="J39" s="34">
        <f>IF(Inventario!A31="","",Inventario!A31)</f>
        <v>30</v>
      </c>
      <c r="K39" s="35" t="str">
        <f>IF(Inventario!B31="","",Inventario!B31)</f>
        <v>PASTELITOS</v>
      </c>
      <c r="W39" s="31"/>
    </row>
    <row r="40" spans="2:23" ht="15.75" thickBot="1" x14ac:dyDescent="0.3">
      <c r="B40" s="42"/>
      <c r="C40" s="42"/>
      <c r="D40" s="7"/>
      <c r="E40" s="7"/>
      <c r="F40" s="7"/>
      <c r="J40" s="34">
        <f>IF(Inventario!A32="","",Inventario!A32)</f>
        <v>31</v>
      </c>
      <c r="K40" s="35" t="str">
        <f>IF(Inventario!B32="","",Inventario!B32)</f>
        <v>MASA SECAS X K</v>
      </c>
      <c r="W40" s="31"/>
    </row>
    <row r="41" spans="2:23" ht="15.75" thickBot="1" x14ac:dyDescent="0.3">
      <c r="B41" s="42"/>
      <c r="C41" s="42"/>
      <c r="D41" s="7"/>
      <c r="E41" s="7"/>
      <c r="F41" s="7"/>
      <c r="J41" s="34">
        <f>IF(Inventario!A33="","",Inventario!A33)</f>
        <v>32</v>
      </c>
      <c r="K41" s="35" t="str">
        <f>IF(Inventario!B33="","",Inventario!B33)</f>
        <v>ALFAJOR DE MAICENA(CHICO) X K</v>
      </c>
      <c r="W41" s="31"/>
    </row>
    <row r="42" spans="2:23" ht="15.75" thickBot="1" x14ac:dyDescent="0.3">
      <c r="B42" s="42"/>
      <c r="C42" s="42"/>
      <c r="D42" s="7"/>
      <c r="E42" s="7"/>
      <c r="F42" s="7"/>
      <c r="J42" s="34">
        <f>IF(Inventario!A34="","",Inventario!A34)</f>
        <v>33</v>
      </c>
      <c r="K42" s="35" t="str">
        <f>IF(Inventario!B34="","",Inventario!B34)</f>
        <v>ALFAJOR DE MAICENA(GRANDE) X DOC</v>
      </c>
      <c r="W42" s="31"/>
    </row>
    <row r="43" spans="2:23" ht="15.75" thickBot="1" x14ac:dyDescent="0.3">
      <c r="B43" s="42"/>
      <c r="C43" s="42"/>
      <c r="D43" s="7"/>
      <c r="E43" s="7"/>
      <c r="F43" s="7"/>
      <c r="J43" s="34">
        <f>IF(Inventario!A35="","",Inventario!A35)</f>
        <v>34</v>
      </c>
      <c r="K43" s="35" t="str">
        <f>IF(Inventario!B35="","",Inventario!B35)</f>
        <v>ALFAJOR DE MIEL X DOC</v>
      </c>
      <c r="W43" s="31"/>
    </row>
    <row r="44" spans="2:23" ht="15.75" thickBot="1" x14ac:dyDescent="0.3">
      <c r="B44" s="42"/>
      <c r="C44" s="42"/>
      <c r="D44" s="7"/>
      <c r="E44" s="7"/>
      <c r="F44" s="7"/>
      <c r="J44" s="34">
        <f>IF(Inventario!A36="","",Inventario!A36)</f>
        <v>35</v>
      </c>
      <c r="K44" s="35" t="str">
        <f>IF(Inventario!B36="","",Inventario!B36)</f>
        <v>ALFAJOR DE CHOCOLATE X  U.</v>
      </c>
      <c r="W44" s="31"/>
    </row>
    <row r="45" spans="2:23" ht="15.75" thickBot="1" x14ac:dyDescent="0.3">
      <c r="B45" s="42"/>
      <c r="C45" s="42"/>
      <c r="D45" s="7"/>
      <c r="E45" s="7"/>
      <c r="F45" s="7"/>
      <c r="J45" s="34">
        <f>IF(Inventario!A37="","",Inventario!A37)</f>
        <v>36</v>
      </c>
      <c r="K45" s="35" t="str">
        <f>IF(Inventario!B37="","",Inventario!B37)</f>
        <v>MARINERA BLANCA S/SAL X K</v>
      </c>
      <c r="W45" s="31"/>
    </row>
    <row r="46" spans="2:23" ht="15.75" thickBot="1" x14ac:dyDescent="0.3">
      <c r="B46" s="42"/>
      <c r="C46" s="42"/>
      <c r="D46" s="7"/>
      <c r="E46" s="7"/>
      <c r="F46" s="7"/>
      <c r="J46" s="34">
        <f>IF(Inventario!A38="","",Inventario!A38)</f>
        <v>37</v>
      </c>
      <c r="K46" s="35" t="str">
        <f>IF(Inventario!B38="","",Inventario!B38)</f>
        <v>MARINERA BLANCA C/SAL X K</v>
      </c>
      <c r="W46" s="31"/>
    </row>
    <row r="47" spans="2:23" ht="15.75" thickBot="1" x14ac:dyDescent="0.3">
      <c r="B47" s="42"/>
      <c r="C47" s="42"/>
      <c r="D47" s="7"/>
      <c r="E47" s="7"/>
      <c r="F47" s="7"/>
      <c r="J47" s="34">
        <f>IF(Inventario!A39="","",Inventario!A39)</f>
        <v>38</v>
      </c>
      <c r="K47" s="35" t="str">
        <f>IF(Inventario!B39="","",Inventario!B39)</f>
        <v>MARINERA DE SALVADO S/SAL X K</v>
      </c>
      <c r="W47" s="31"/>
    </row>
    <row r="48" spans="2:23" ht="15.75" thickBot="1" x14ac:dyDescent="0.3">
      <c r="B48" s="42"/>
      <c r="C48" s="42"/>
      <c r="D48" s="7"/>
      <c r="E48" s="7"/>
      <c r="F48" s="7"/>
      <c r="J48" s="34">
        <f>IF(Inventario!A40="","",Inventario!A40)</f>
        <v>39</v>
      </c>
      <c r="K48" s="35" t="str">
        <f>IF(Inventario!B40="","",Inventario!B40)</f>
        <v>MARINERA DE SALVADO C/SAL X K</v>
      </c>
      <c r="W48" s="31"/>
    </row>
    <row r="49" spans="2:23" ht="15.75" thickBot="1" x14ac:dyDescent="0.3">
      <c r="B49" s="42"/>
      <c r="C49" s="42"/>
      <c r="D49" s="7"/>
      <c r="E49" s="7"/>
      <c r="F49" s="7"/>
      <c r="J49" s="34">
        <f>IF(Inventario!A41="","",Inventario!A41)</f>
        <v>40</v>
      </c>
      <c r="K49" s="35" t="str">
        <f>IF(Inventario!B41="","",Inventario!B41)</f>
        <v>GRISINES S/SEMILLAS X K</v>
      </c>
      <c r="W49" s="31"/>
    </row>
    <row r="50" spans="2:23" ht="15.75" thickBot="1" x14ac:dyDescent="0.3">
      <c r="B50" s="42"/>
      <c r="C50" s="42"/>
      <c r="D50" s="7"/>
      <c r="E50" s="7"/>
      <c r="F50" s="7"/>
      <c r="J50" s="34">
        <f>IF(Inventario!A42="","",Inventario!A42)</f>
        <v>41</v>
      </c>
      <c r="K50" s="35" t="str">
        <f>IF(Inventario!B42="","",Inventario!B42)</f>
        <v>GRISINES C/SEMILLAS X K</v>
      </c>
      <c r="W50" s="31"/>
    </row>
    <row r="51" spans="2:23" ht="15.75" thickBot="1" x14ac:dyDescent="0.3">
      <c r="B51" s="42"/>
      <c r="C51" s="42"/>
      <c r="D51" s="7"/>
      <c r="E51" s="7"/>
      <c r="F51" s="7"/>
      <c r="J51" s="34">
        <f>IF(Inventario!A43="","",Inventario!A43)</f>
        <v>42</v>
      </c>
      <c r="K51" s="35" t="str">
        <f>IF(Inventario!B43="","",Inventario!B43)</f>
        <v>GRISINES DE SALVADO S/SAL X K</v>
      </c>
      <c r="W51" s="31"/>
    </row>
    <row r="52" spans="2:23" ht="15.75" thickBot="1" x14ac:dyDescent="0.3">
      <c r="B52" s="42"/>
      <c r="C52" s="42"/>
      <c r="D52" s="7"/>
      <c r="E52" s="7"/>
      <c r="F52" s="7"/>
      <c r="J52" s="34">
        <f>IF(Inventario!A44="","",Inventario!A44)</f>
        <v>43</v>
      </c>
      <c r="K52" s="35" t="str">
        <f>IF(Inventario!B44="","",Inventario!B44)</f>
        <v>GRISINES DE SALVADO C/SAL X K</v>
      </c>
      <c r="W52" s="31"/>
    </row>
    <row r="53" spans="2:23" ht="15.75" thickBot="1" x14ac:dyDescent="0.3">
      <c r="B53" s="42"/>
      <c r="C53" s="42"/>
      <c r="D53" s="7"/>
      <c r="E53" s="7"/>
      <c r="F53" s="7"/>
      <c r="J53" s="34">
        <f>IF(Inventario!A45="","",Inventario!A45)</f>
        <v>44</v>
      </c>
      <c r="K53" s="35" t="str">
        <f>IF(Inventario!B45="","",Inventario!B45)</f>
        <v>TOSTADAS C/GLUTEN Y SAL X K</v>
      </c>
      <c r="W53" s="31"/>
    </row>
    <row r="54" spans="2:23" ht="15.75" thickBot="1" x14ac:dyDescent="0.3">
      <c r="B54" s="42"/>
      <c r="C54" s="42"/>
      <c r="D54" s="7"/>
      <c r="E54" s="7"/>
      <c r="F54" s="7"/>
      <c r="J54" s="34">
        <f>IF(Inventario!A46="","",Inventario!A46)</f>
        <v>45</v>
      </c>
      <c r="K54" s="35" t="str">
        <f>IF(Inventario!B46="","",Inventario!B46)</f>
        <v>TOSTADAS SEMIDULCE X K</v>
      </c>
      <c r="W54" s="31"/>
    </row>
    <row r="55" spans="2:23" ht="15.75" thickBot="1" x14ac:dyDescent="0.3">
      <c r="B55" s="42"/>
      <c r="C55" s="42"/>
      <c r="D55" s="7"/>
      <c r="E55" s="7"/>
      <c r="F55" s="7"/>
      <c r="J55" s="34">
        <f>IF(Inventario!A47="","",Inventario!A47)</f>
        <v>46</v>
      </c>
      <c r="K55" s="35" t="str">
        <f>IF(Inventario!B47="","",Inventario!B47)</f>
        <v>BUISCUIT</v>
      </c>
      <c r="W55" s="31"/>
    </row>
    <row r="56" spans="2:23" ht="15.75" thickBot="1" x14ac:dyDescent="0.3">
      <c r="B56" s="42"/>
      <c r="C56" s="42"/>
      <c r="D56" s="7"/>
      <c r="E56" s="7"/>
      <c r="F56" s="7"/>
      <c r="J56" s="34">
        <f>IF(Inventario!A48="","",Inventario!A48)</f>
        <v>47</v>
      </c>
      <c r="K56" s="35" t="str">
        <f>IF(Inventario!B48="","",Inventario!B48)</f>
        <v>SANDWICH DE MIGA JAMON Y QUESO X DOC</v>
      </c>
      <c r="W56" s="31"/>
    </row>
    <row r="57" spans="2:23" ht="15.75" thickBot="1" x14ac:dyDescent="0.3">
      <c r="B57" s="42"/>
      <c r="C57" s="42"/>
      <c r="D57" s="7"/>
      <c r="E57" s="7"/>
      <c r="F57" s="7"/>
      <c r="J57" s="34">
        <f>IF(Inventario!A49="","",Inventario!A49)</f>
        <v>48</v>
      </c>
      <c r="K57" s="35" t="str">
        <f>IF(Inventario!B49="","",Inventario!B49)</f>
        <v>SANDWICH DE MIGA VERDURA X DOC</v>
      </c>
      <c r="W57" s="31"/>
    </row>
    <row r="58" spans="2:23" ht="15.75" thickBot="1" x14ac:dyDescent="0.3">
      <c r="B58" s="42"/>
      <c r="C58" s="42"/>
      <c r="D58" s="7"/>
      <c r="E58" s="7"/>
      <c r="F58" s="7"/>
      <c r="J58" s="34">
        <f>IF(Inventario!A50="","",Inventario!A50)</f>
        <v>49</v>
      </c>
      <c r="K58" s="35" t="str">
        <f>IF(Inventario!B50="","",Inventario!B50)</f>
        <v>SANDWICH DE MIGA SALAME X DOC</v>
      </c>
      <c r="W58" s="31"/>
    </row>
    <row r="59" spans="2:23" ht="15.75" thickBot="1" x14ac:dyDescent="0.3">
      <c r="B59" s="42"/>
      <c r="C59" s="42"/>
      <c r="D59" s="7"/>
      <c r="E59" s="7"/>
      <c r="F59" s="7"/>
      <c r="J59" s="34">
        <f>IF(Inventario!A51="","",Inventario!A51)</f>
        <v>50</v>
      </c>
      <c r="K59" s="35" t="str">
        <f>IF(Inventario!B51="","",Inventario!B51)</f>
        <v>SANDWICH DE MIGA JAMON CRUDO X DOC</v>
      </c>
      <c r="W59" s="31"/>
    </row>
    <row r="60" spans="2:23" ht="15.75" thickBot="1" x14ac:dyDescent="0.3">
      <c r="B60" s="42"/>
      <c r="C60" s="42"/>
      <c r="D60" s="7"/>
      <c r="E60" s="7"/>
      <c r="F60" s="7"/>
      <c r="J60" s="34">
        <f>IF(Inventario!A52="","",Inventario!A52)</f>
        <v>51</v>
      </c>
      <c r="K60" s="35" t="str">
        <f>IF(Inventario!B52="","",Inventario!B52)</f>
        <v>SANDWICH DE MIGA PAN NEGRO JAMON Y QUESOX DOC</v>
      </c>
      <c r="W60" s="31"/>
    </row>
    <row r="61" spans="2:23" ht="15.75" thickBot="1" x14ac:dyDescent="0.3">
      <c r="B61" s="42"/>
      <c r="C61" s="42"/>
      <c r="D61" s="7"/>
      <c r="E61" s="7"/>
      <c r="F61" s="7"/>
      <c r="J61" s="34">
        <f>IF(Inventario!A53="","",Inventario!A53)</f>
        <v>52</v>
      </c>
      <c r="K61" s="35" t="str">
        <f>IF(Inventario!B53="","",Inventario!B53)</f>
        <v>EMPANADAS DE CARNE X DOC</v>
      </c>
      <c r="W61" s="31"/>
    </row>
    <row r="62" spans="2:23" ht="15.75" thickBot="1" x14ac:dyDescent="0.3">
      <c r="B62" s="42"/>
      <c r="C62" s="42"/>
      <c r="D62" s="7"/>
      <c r="E62" s="7"/>
      <c r="F62" s="7"/>
      <c r="J62" s="34">
        <f>IF(Inventario!A54="","",Inventario!A54)</f>
        <v>53</v>
      </c>
      <c r="K62" s="35" t="str">
        <f>IF(Inventario!B54="","",Inventario!B54)</f>
        <v>EMPANADAS DE JAMON Y QUESO X DOC</v>
      </c>
      <c r="W62" s="31"/>
    </row>
    <row r="63" spans="2:23" ht="15.75" thickBot="1" x14ac:dyDescent="0.3">
      <c r="B63" s="42"/>
      <c r="C63" s="42"/>
      <c r="D63" s="7"/>
      <c r="E63" s="7"/>
      <c r="F63" s="7"/>
      <c r="J63" s="34">
        <f>IF(Inventario!A55="","",Inventario!A55)</f>
        <v>54</v>
      </c>
      <c r="K63" s="35" t="str">
        <f>IF(Inventario!B55="","",Inventario!B55)</f>
        <v>EMPANADAS DE VERDURAS X DOC</v>
      </c>
      <c r="W63" s="31"/>
    </row>
    <row r="64" spans="2:23" ht="15.75" thickBot="1" x14ac:dyDescent="0.3">
      <c r="B64" s="42"/>
      <c r="C64" s="42"/>
      <c r="D64" s="7"/>
      <c r="E64" s="7"/>
      <c r="F64" s="7"/>
      <c r="J64" s="34">
        <f>IF(Inventario!A56="","",Inventario!A56)</f>
        <v>55</v>
      </c>
      <c r="K64" s="35" t="str">
        <f>IF(Inventario!B56="","",Inventario!B56)</f>
        <v>EMPANADAS DE POLLO  X DOC</v>
      </c>
      <c r="W64" s="31"/>
    </row>
    <row r="65" spans="2:23" ht="15.75" thickBot="1" x14ac:dyDescent="0.3">
      <c r="B65" s="42"/>
      <c r="C65" s="42"/>
      <c r="D65" s="7"/>
      <c r="E65" s="7"/>
      <c r="F65" s="7"/>
      <c r="J65" s="34" t="str">
        <f>IF(Inventario!A57="","",Inventario!A57)</f>
        <v/>
      </c>
      <c r="K65" s="35" t="e">
        <f>IF(Inventario!B57="","",Inventario!B57)</f>
        <v>#N/A</v>
      </c>
      <c r="W65" s="31"/>
    </row>
    <row r="66" spans="2:23" ht="15.75" thickBot="1" x14ac:dyDescent="0.3">
      <c r="B66" s="42"/>
      <c r="C66" s="42"/>
      <c r="D66" s="7"/>
      <c r="E66" s="7"/>
      <c r="F66" s="7"/>
      <c r="J66" s="34" t="str">
        <f>IF(Inventario!A58="","",Inventario!A58)</f>
        <v/>
      </c>
      <c r="K66" s="35" t="e">
        <f>IF(Inventario!B58="","",Inventario!B58)</f>
        <v>#N/A</v>
      </c>
      <c r="W66" s="31"/>
    </row>
    <row r="67" spans="2:23" ht="15.75" thickBot="1" x14ac:dyDescent="0.3">
      <c r="B67" s="42"/>
      <c r="C67" s="42"/>
      <c r="D67" s="7"/>
      <c r="E67" s="7"/>
      <c r="F67" s="7"/>
      <c r="J67" s="34" t="str">
        <f>IF(Inventario!A59="","",Inventario!A59)</f>
        <v/>
      </c>
      <c r="K67" s="35" t="e">
        <f>IF(Inventario!B59="","",Inventario!B59)</f>
        <v>#N/A</v>
      </c>
      <c r="W67" s="31"/>
    </row>
    <row r="68" spans="2:23" ht="15.75" thickBot="1" x14ac:dyDescent="0.3">
      <c r="B68" s="42"/>
      <c r="C68" s="42"/>
      <c r="D68" s="7"/>
      <c r="E68" s="7"/>
      <c r="F68" s="7"/>
      <c r="J68" s="34" t="str">
        <f>IF(Inventario!A60="","",Inventario!A60)</f>
        <v/>
      </c>
      <c r="K68" s="35" t="e">
        <f>IF(Inventario!B60="","",Inventario!B60)</f>
        <v>#N/A</v>
      </c>
      <c r="W68" s="31"/>
    </row>
    <row r="69" spans="2:23" ht="15.75" thickBot="1" x14ac:dyDescent="0.3">
      <c r="B69" s="42"/>
      <c r="C69" s="42"/>
      <c r="D69" s="7"/>
      <c r="E69" s="7"/>
      <c r="F69" s="7"/>
      <c r="J69" s="34" t="str">
        <f>IF(Inventario!A61="","",Inventario!A61)</f>
        <v/>
      </c>
      <c r="K69" s="35" t="e">
        <f>IF(Inventario!B61="","",Inventario!B61)</f>
        <v>#N/A</v>
      </c>
      <c r="W69" s="31"/>
    </row>
    <row r="70" spans="2:23" ht="15.75" thickBot="1" x14ac:dyDescent="0.3">
      <c r="B70" s="42"/>
      <c r="C70" s="42"/>
      <c r="D70" s="7"/>
      <c r="E70" s="7"/>
      <c r="F70" s="7"/>
      <c r="J70" s="34" t="str">
        <f>IF(Inventario!A62="","",Inventario!A62)</f>
        <v/>
      </c>
      <c r="K70" s="35" t="e">
        <f>IF(Inventario!B62="","",Inventario!B62)</f>
        <v>#N/A</v>
      </c>
      <c r="W70" s="31"/>
    </row>
    <row r="71" spans="2:23" ht="15.75" thickBot="1" x14ac:dyDescent="0.3">
      <c r="B71" s="42"/>
      <c r="C71" s="42"/>
      <c r="D71" s="7"/>
      <c r="E71" s="7"/>
      <c r="F71" s="7"/>
      <c r="J71" s="34" t="str">
        <f>IF(Inventario!A63="","",Inventario!A63)</f>
        <v/>
      </c>
      <c r="K71" s="35" t="e">
        <f>IF(Inventario!B63="","",Inventario!B63)</f>
        <v>#N/A</v>
      </c>
      <c r="W71" s="31"/>
    </row>
    <row r="72" spans="2:23" ht="15.75" thickBot="1" x14ac:dyDescent="0.3">
      <c r="B72" s="42"/>
      <c r="C72" s="42"/>
      <c r="D72" s="7"/>
      <c r="E72" s="7"/>
      <c r="F72" s="7"/>
      <c r="J72" s="34" t="str">
        <f>IF(Inventario!A64="","",Inventario!A64)</f>
        <v/>
      </c>
      <c r="K72" s="35" t="e">
        <f>IF(Inventario!B64="","",Inventario!B64)</f>
        <v>#N/A</v>
      </c>
      <c r="W72" s="31"/>
    </row>
    <row r="73" spans="2:23" ht="15.75" thickBot="1" x14ac:dyDescent="0.3">
      <c r="B73" s="42"/>
      <c r="C73" s="42"/>
      <c r="D73" s="7"/>
      <c r="E73" s="7"/>
      <c r="F73" s="7"/>
      <c r="J73" s="34" t="str">
        <f>IF(Inventario!A65="","",Inventario!A65)</f>
        <v/>
      </c>
      <c r="K73" s="35" t="e">
        <f>IF(Inventario!B65="","",Inventario!B65)</f>
        <v>#N/A</v>
      </c>
      <c r="W73" s="31"/>
    </row>
    <row r="74" spans="2:23" ht="15.75" thickBot="1" x14ac:dyDescent="0.3">
      <c r="B74" s="42"/>
      <c r="C74" s="42"/>
      <c r="D74" s="7"/>
      <c r="E74" s="7"/>
      <c r="F74" s="7"/>
      <c r="J74" s="34" t="str">
        <f>IF(Inventario!A66="","",Inventario!A66)</f>
        <v/>
      </c>
      <c r="K74" s="35" t="e">
        <f>IF(Inventario!B66="","",Inventario!B66)</f>
        <v>#N/A</v>
      </c>
      <c r="W74" s="31"/>
    </row>
    <row r="75" spans="2:23" ht="15.75" thickBot="1" x14ac:dyDescent="0.3">
      <c r="B75" s="42"/>
      <c r="C75" s="42"/>
      <c r="D75" s="7"/>
      <c r="E75" s="7"/>
      <c r="F75" s="7"/>
      <c r="J75" s="34" t="str">
        <f>IF(Inventario!A67="","",Inventario!A67)</f>
        <v/>
      </c>
      <c r="K75" s="35" t="e">
        <f>IF(Inventario!B67="","",Inventario!B67)</f>
        <v>#N/A</v>
      </c>
      <c r="W75" s="31"/>
    </row>
    <row r="76" spans="2:23" ht="15.75" thickBot="1" x14ac:dyDescent="0.3">
      <c r="B76" s="42"/>
      <c r="C76" s="42"/>
      <c r="D76" s="7"/>
      <c r="E76" s="7"/>
      <c r="F76" s="7"/>
      <c r="J76" s="34" t="str">
        <f>IF(Inventario!A68="","",Inventario!A68)</f>
        <v/>
      </c>
      <c r="K76" s="35" t="e">
        <f>IF(Inventario!B68="","",Inventario!B68)</f>
        <v>#N/A</v>
      </c>
      <c r="W76" s="31"/>
    </row>
    <row r="77" spans="2:23" ht="15.75" thickBot="1" x14ac:dyDescent="0.3">
      <c r="B77" s="42"/>
      <c r="C77" s="42"/>
      <c r="D77" s="7"/>
      <c r="E77" s="7"/>
      <c r="F77" s="7"/>
      <c r="J77" s="34" t="str">
        <f>IF(Inventario!A69="","",Inventario!A69)</f>
        <v/>
      </c>
      <c r="K77" s="35" t="e">
        <f>IF(Inventario!B69="","",Inventario!B69)</f>
        <v>#N/A</v>
      </c>
      <c r="W77" s="31"/>
    </row>
    <row r="78" spans="2:23" ht="15.75" thickBot="1" x14ac:dyDescent="0.3">
      <c r="B78" s="42"/>
      <c r="C78" s="42"/>
      <c r="D78" s="7"/>
      <c r="E78" s="7"/>
      <c r="F78" s="7"/>
      <c r="J78" s="34" t="str">
        <f>IF(Inventario!A70="","",Inventario!A70)</f>
        <v/>
      </c>
      <c r="K78" s="35" t="e">
        <f>IF(Inventario!B70="","",Inventario!B70)</f>
        <v>#N/A</v>
      </c>
      <c r="W78" s="31"/>
    </row>
    <row r="79" spans="2:23" ht="15.75" thickBot="1" x14ac:dyDescent="0.3">
      <c r="B79" s="42"/>
      <c r="C79" s="42"/>
      <c r="D79" s="7"/>
      <c r="E79" s="7"/>
      <c r="F79" s="7"/>
      <c r="J79" s="34" t="str">
        <f>IF(Inventario!A71="","",Inventario!A71)</f>
        <v/>
      </c>
      <c r="K79" s="35" t="e">
        <f>IF(Inventario!B71="","",Inventario!B71)</f>
        <v>#N/A</v>
      </c>
      <c r="W79" s="31"/>
    </row>
    <row r="80" spans="2:23" ht="15.75" thickBot="1" x14ac:dyDescent="0.3">
      <c r="B80" s="42"/>
      <c r="C80" s="42"/>
      <c r="D80" s="7"/>
      <c r="E80" s="7"/>
      <c r="F80" s="7"/>
      <c r="J80" s="34" t="str">
        <f>IF(Inventario!A72="","",Inventario!A72)</f>
        <v/>
      </c>
      <c r="K80" s="35" t="e">
        <f>IF(Inventario!B72="","",Inventario!B72)</f>
        <v>#N/A</v>
      </c>
      <c r="W80" s="31"/>
    </row>
    <row r="81" spans="2:23" ht="15.75" thickBot="1" x14ac:dyDescent="0.3">
      <c r="B81" s="42"/>
      <c r="C81" s="42"/>
      <c r="D81" s="7"/>
      <c r="E81" s="7"/>
      <c r="F81" s="7"/>
      <c r="J81" s="34" t="str">
        <f>IF(Inventario!A73="","",Inventario!A73)</f>
        <v/>
      </c>
      <c r="K81" s="35" t="e">
        <f>IF(Inventario!B73="","",Inventario!B73)</f>
        <v>#N/A</v>
      </c>
      <c r="W81" s="31"/>
    </row>
    <row r="82" spans="2:23" ht="15.75" thickBot="1" x14ac:dyDescent="0.3">
      <c r="B82" s="42"/>
      <c r="C82" s="42"/>
      <c r="D82" s="7"/>
      <c r="E82" s="7"/>
      <c r="F82" s="7"/>
      <c r="J82" s="34" t="str">
        <f>IF(Inventario!A74="","",Inventario!A74)</f>
        <v/>
      </c>
      <c r="K82" s="35" t="e">
        <f>IF(Inventario!B74="","",Inventario!B74)</f>
        <v>#N/A</v>
      </c>
      <c r="W82" s="31"/>
    </row>
    <row r="83" spans="2:23" ht="15.75" thickBot="1" x14ac:dyDescent="0.3">
      <c r="B83" s="42"/>
      <c r="C83" s="42"/>
      <c r="D83" s="7"/>
      <c r="E83" s="7"/>
      <c r="F83" s="7"/>
      <c r="J83" s="34" t="str">
        <f>IF(Inventario!A75="","",Inventario!A75)</f>
        <v/>
      </c>
      <c r="K83" s="35" t="e">
        <f>IF(Inventario!B75="","",Inventario!B75)</f>
        <v>#N/A</v>
      </c>
      <c r="W83" s="31"/>
    </row>
    <row r="84" spans="2:23" ht="15.75" thickBot="1" x14ac:dyDescent="0.3">
      <c r="B84" s="42"/>
      <c r="C84" s="42"/>
      <c r="D84" s="7"/>
      <c r="E84" s="7"/>
      <c r="F84" s="7"/>
      <c r="J84" s="34" t="str">
        <f>IF(Inventario!A76="","",Inventario!A76)</f>
        <v/>
      </c>
      <c r="K84" s="35" t="e">
        <f>IF(Inventario!B76="","",Inventario!B76)</f>
        <v>#N/A</v>
      </c>
      <c r="W84" s="31"/>
    </row>
    <row r="85" spans="2:23" ht="15.75" thickBot="1" x14ac:dyDescent="0.3">
      <c r="B85" s="42"/>
      <c r="C85" s="42"/>
      <c r="D85" s="7"/>
      <c r="E85" s="7"/>
      <c r="F85" s="7"/>
      <c r="J85" s="34" t="str">
        <f>IF(Inventario!A77="","",Inventario!A77)</f>
        <v/>
      </c>
      <c r="K85" s="35" t="e">
        <f>IF(Inventario!B77="","",Inventario!B77)</f>
        <v>#N/A</v>
      </c>
      <c r="W85" s="31"/>
    </row>
    <row r="86" spans="2:23" ht="15.75" thickBot="1" x14ac:dyDescent="0.3">
      <c r="B86" s="42"/>
      <c r="C86" s="42"/>
      <c r="D86" s="7"/>
      <c r="E86" s="7"/>
      <c r="F86" s="7"/>
      <c r="J86" s="34" t="str">
        <f>IF(Inventario!A78="","",Inventario!A78)</f>
        <v/>
      </c>
      <c r="K86" s="35" t="e">
        <f>IF(Inventario!B78="","",Inventario!B78)</f>
        <v>#N/A</v>
      </c>
      <c r="W86" s="31"/>
    </row>
    <row r="87" spans="2:23" ht="15.75" thickBot="1" x14ac:dyDescent="0.3">
      <c r="B87" s="42"/>
      <c r="C87" s="42"/>
      <c r="D87" s="7"/>
      <c r="E87" s="7"/>
      <c r="F87" s="7"/>
      <c r="J87" s="34" t="str">
        <f>IF(Inventario!A79="","",Inventario!A79)</f>
        <v/>
      </c>
      <c r="K87" s="35" t="e">
        <f>IF(Inventario!B79="","",Inventario!B79)</f>
        <v>#N/A</v>
      </c>
      <c r="W87" s="31"/>
    </row>
    <row r="88" spans="2:23" ht="15.75" thickBot="1" x14ac:dyDescent="0.3">
      <c r="B88" s="42"/>
      <c r="C88" s="42"/>
      <c r="D88" s="7"/>
      <c r="E88" s="7"/>
      <c r="F88" s="7"/>
      <c r="J88" s="34" t="str">
        <f>IF(Inventario!A80="","",Inventario!A80)</f>
        <v/>
      </c>
      <c r="K88" s="35" t="e">
        <f>IF(Inventario!B80="","",Inventario!B80)</f>
        <v>#N/A</v>
      </c>
      <c r="W88" s="31"/>
    </row>
    <row r="89" spans="2:23" ht="15.75" thickBot="1" x14ac:dyDescent="0.3">
      <c r="B89" s="42"/>
      <c r="C89" s="42"/>
      <c r="D89" s="7"/>
      <c r="E89" s="7"/>
      <c r="F89" s="7"/>
      <c r="J89" s="34" t="str">
        <f>IF(Inventario!A81="","",Inventario!A81)</f>
        <v/>
      </c>
      <c r="K89" s="35" t="e">
        <f>IF(Inventario!B81="","",Inventario!B81)</f>
        <v>#N/A</v>
      </c>
      <c r="W89" s="31"/>
    </row>
    <row r="90" spans="2:23" ht="15.75" thickBot="1" x14ac:dyDescent="0.3">
      <c r="B90" s="42"/>
      <c r="C90" s="42"/>
      <c r="D90" s="7"/>
      <c r="E90" s="7"/>
      <c r="F90" s="7"/>
      <c r="J90" s="34" t="str">
        <f>IF(Inventario!A82="","",Inventario!A82)</f>
        <v/>
      </c>
      <c r="K90" s="35" t="e">
        <f>IF(Inventario!B82="","",Inventario!B82)</f>
        <v>#N/A</v>
      </c>
      <c r="W90" s="31"/>
    </row>
    <row r="91" spans="2:23" ht="15.75" thickBot="1" x14ac:dyDescent="0.3">
      <c r="B91" s="42"/>
      <c r="C91" s="42"/>
      <c r="D91" s="7"/>
      <c r="E91" s="7"/>
      <c r="F91" s="7"/>
      <c r="J91" s="34" t="str">
        <f>IF(Inventario!A83="","",Inventario!A83)</f>
        <v/>
      </c>
      <c r="K91" s="35" t="e">
        <f>IF(Inventario!B83="","",Inventario!B83)</f>
        <v>#N/A</v>
      </c>
      <c r="W91" s="31"/>
    </row>
    <row r="92" spans="2:23" ht="15.75" thickBot="1" x14ac:dyDescent="0.3">
      <c r="B92" s="42"/>
      <c r="C92" s="42"/>
      <c r="D92" s="7"/>
      <c r="E92" s="7"/>
      <c r="F92" s="7"/>
      <c r="J92" s="34" t="str">
        <f>IF(Inventario!A84="","",Inventario!A84)</f>
        <v/>
      </c>
      <c r="K92" s="35" t="e">
        <f>IF(Inventario!B84="","",Inventario!B84)</f>
        <v>#N/A</v>
      </c>
      <c r="W92" s="31"/>
    </row>
    <row r="93" spans="2:23" ht="15.75" thickBot="1" x14ac:dyDescent="0.3">
      <c r="B93" s="42"/>
      <c r="C93" s="42"/>
      <c r="D93" s="7"/>
      <c r="E93" s="7"/>
      <c r="F93" s="7"/>
      <c r="J93" s="34" t="str">
        <f>IF(Inventario!A85="","",Inventario!A85)</f>
        <v/>
      </c>
      <c r="K93" s="35" t="e">
        <f>IF(Inventario!B85="","",Inventario!B85)</f>
        <v>#N/A</v>
      </c>
      <c r="W93" s="31"/>
    </row>
    <row r="94" spans="2:23" ht="15.75" thickBot="1" x14ac:dyDescent="0.3">
      <c r="B94" s="42"/>
      <c r="C94" s="42"/>
      <c r="D94" s="7"/>
      <c r="E94" s="7"/>
      <c r="F94" s="7"/>
      <c r="J94" s="34" t="str">
        <f>IF(Inventario!A86="","",Inventario!A86)</f>
        <v/>
      </c>
      <c r="K94" s="35" t="e">
        <f>IF(Inventario!B86="","",Inventario!B86)</f>
        <v>#N/A</v>
      </c>
      <c r="W94" s="31"/>
    </row>
    <row r="95" spans="2:23" ht="15.75" thickBot="1" x14ac:dyDescent="0.3">
      <c r="B95" s="42"/>
      <c r="C95" s="42"/>
      <c r="D95" s="7"/>
      <c r="E95" s="7"/>
      <c r="F95" s="7"/>
      <c r="J95" s="34" t="str">
        <f>IF(Inventario!A87="","",Inventario!A87)</f>
        <v/>
      </c>
      <c r="K95" s="35" t="e">
        <f>IF(Inventario!B87="","",Inventario!B87)</f>
        <v>#N/A</v>
      </c>
      <c r="W95" s="31"/>
    </row>
    <row r="96" spans="2:23" ht="15.75" thickBot="1" x14ac:dyDescent="0.3">
      <c r="B96" s="42"/>
      <c r="C96" s="42"/>
      <c r="D96" s="7"/>
      <c r="E96" s="7"/>
      <c r="F96" s="7"/>
      <c r="J96" s="34" t="str">
        <f>IF(Inventario!A88="","",Inventario!A88)</f>
        <v/>
      </c>
      <c r="K96" s="35" t="e">
        <f>IF(Inventario!B88="","",Inventario!B88)</f>
        <v>#N/A</v>
      </c>
      <c r="W96" s="31"/>
    </row>
    <row r="97" spans="2:23" ht="15.75" thickBot="1" x14ac:dyDescent="0.3">
      <c r="B97" s="42"/>
      <c r="C97" s="42"/>
      <c r="D97" s="7"/>
      <c r="E97" s="7"/>
      <c r="F97" s="7"/>
      <c r="J97" s="34" t="str">
        <f>IF(Inventario!A89="","",Inventario!A89)</f>
        <v/>
      </c>
      <c r="K97" s="35" t="e">
        <f>IF(Inventario!B89="","",Inventario!B89)</f>
        <v>#N/A</v>
      </c>
      <c r="W97" s="31"/>
    </row>
    <row r="98" spans="2:23" ht="15.75" thickBot="1" x14ac:dyDescent="0.3">
      <c r="B98" s="42"/>
      <c r="C98" s="42"/>
      <c r="D98" s="7"/>
      <c r="E98" s="7"/>
      <c r="F98" s="7"/>
      <c r="J98" s="34" t="str">
        <f>IF(Inventario!A90="","",Inventario!A90)</f>
        <v/>
      </c>
      <c r="K98" s="35" t="e">
        <f>IF(Inventario!B90="","",Inventario!B90)</f>
        <v>#N/A</v>
      </c>
      <c r="W98" s="31"/>
    </row>
    <row r="99" spans="2:23" ht="15.75" thickBot="1" x14ac:dyDescent="0.3">
      <c r="B99" s="42"/>
      <c r="C99" s="42"/>
      <c r="D99" s="7"/>
      <c r="E99" s="7"/>
      <c r="F99" s="7"/>
      <c r="J99" s="34" t="str">
        <f>IF(Inventario!A91="","",Inventario!A91)</f>
        <v/>
      </c>
      <c r="K99" s="35" t="e">
        <f>IF(Inventario!B91="","",Inventario!B91)</f>
        <v>#N/A</v>
      </c>
      <c r="W99" s="31"/>
    </row>
    <row r="100" spans="2:23" ht="15.75" thickBot="1" x14ac:dyDescent="0.3">
      <c r="B100" s="42"/>
      <c r="C100" s="42"/>
      <c r="D100" s="7"/>
      <c r="E100" s="7"/>
      <c r="F100" s="7"/>
      <c r="J100" s="34" t="str">
        <f>IF(Inventario!A92="","",Inventario!A92)</f>
        <v/>
      </c>
      <c r="K100" s="35" t="e">
        <f>IF(Inventario!B92="","",Inventario!B92)</f>
        <v>#N/A</v>
      </c>
      <c r="W100" s="31"/>
    </row>
    <row r="101" spans="2:23" ht="15.75" thickBot="1" x14ac:dyDescent="0.3">
      <c r="B101" s="42"/>
      <c r="C101" s="42"/>
      <c r="D101" s="7"/>
      <c r="E101" s="7"/>
      <c r="F101" s="7"/>
      <c r="J101" s="34" t="str">
        <f>IF(Inventario!A93="","",Inventario!A93)</f>
        <v/>
      </c>
      <c r="K101" s="35" t="e">
        <f>IF(Inventario!B93="","",Inventario!B93)</f>
        <v>#N/A</v>
      </c>
      <c r="W101" s="31"/>
    </row>
    <row r="102" spans="2:23" ht="15.75" thickBot="1" x14ac:dyDescent="0.3">
      <c r="B102" s="42"/>
      <c r="C102" s="42"/>
      <c r="D102" s="7"/>
      <c r="E102" s="7"/>
      <c r="F102" s="7"/>
      <c r="J102" s="34" t="str">
        <f>IF(Inventario!A94="","",Inventario!A94)</f>
        <v/>
      </c>
      <c r="K102" s="35" t="e">
        <f>IF(Inventario!B94="","",Inventario!B94)</f>
        <v>#N/A</v>
      </c>
      <c r="W102" s="31"/>
    </row>
    <row r="103" spans="2:23" ht="15.75" thickBot="1" x14ac:dyDescent="0.3">
      <c r="B103" s="42"/>
      <c r="C103" s="42"/>
      <c r="D103" s="7"/>
      <c r="E103" s="7"/>
      <c r="F103" s="7"/>
      <c r="J103" s="34" t="str">
        <f>IF(Inventario!A95="","",Inventario!A95)</f>
        <v/>
      </c>
      <c r="K103" s="35" t="e">
        <f>IF(Inventario!B95="","",Inventario!B95)</f>
        <v>#N/A</v>
      </c>
      <c r="W103" s="31"/>
    </row>
    <row r="104" spans="2:23" ht="15.75" thickBot="1" x14ac:dyDescent="0.3">
      <c r="B104" s="42"/>
      <c r="C104" s="42"/>
      <c r="D104" s="7"/>
      <c r="E104" s="7"/>
      <c r="F104" s="7"/>
      <c r="J104" s="34" t="str">
        <f>IF(Inventario!A96="","",Inventario!A96)</f>
        <v/>
      </c>
      <c r="K104" s="35" t="e">
        <f>IF(Inventario!B96="","",Inventario!B96)</f>
        <v>#N/A</v>
      </c>
      <c r="W104" s="31"/>
    </row>
    <row r="105" spans="2:23" ht="15.75" thickBot="1" x14ac:dyDescent="0.3">
      <c r="B105" s="42"/>
      <c r="C105" s="42"/>
      <c r="D105" s="7"/>
      <c r="E105" s="7"/>
      <c r="F105" s="7"/>
      <c r="J105" s="34" t="str">
        <f>IF(Inventario!A97="","",Inventario!A97)</f>
        <v/>
      </c>
      <c r="K105" s="35" t="e">
        <f>IF(Inventario!B97="","",Inventario!B97)</f>
        <v>#N/A</v>
      </c>
      <c r="W105" s="31"/>
    </row>
    <row r="106" spans="2:23" ht="15.75" thickBot="1" x14ac:dyDescent="0.3">
      <c r="B106" s="42"/>
      <c r="C106" s="42"/>
      <c r="D106" s="7"/>
      <c r="E106" s="7"/>
      <c r="F106" s="7"/>
      <c r="J106" s="34" t="str">
        <f>IF(Inventario!A98="","",Inventario!A98)</f>
        <v/>
      </c>
      <c r="K106" s="35" t="e">
        <f>IF(Inventario!B98="","",Inventario!B98)</f>
        <v>#N/A</v>
      </c>
      <c r="W106" s="31"/>
    </row>
    <row r="107" spans="2:23" ht="15.75" thickBot="1" x14ac:dyDescent="0.3">
      <c r="B107" s="42"/>
      <c r="C107" s="42"/>
      <c r="D107" s="7"/>
      <c r="E107" s="7"/>
      <c r="F107" s="7"/>
      <c r="J107" s="34" t="str">
        <f>IF(Inventario!A99="","",Inventario!A99)</f>
        <v/>
      </c>
      <c r="K107" s="35" t="e">
        <f>IF(Inventario!B99="","",Inventario!B99)</f>
        <v>#N/A</v>
      </c>
      <c r="W107" s="31"/>
    </row>
    <row r="108" spans="2:23" ht="15.75" thickBot="1" x14ac:dyDescent="0.3">
      <c r="B108" s="42"/>
      <c r="C108" s="42"/>
      <c r="D108" s="7"/>
      <c r="E108" s="7"/>
      <c r="F108" s="7"/>
      <c r="J108" s="34" t="str">
        <f>IF(Inventario!A100="","",Inventario!A100)</f>
        <v/>
      </c>
      <c r="K108" s="35" t="e">
        <f>IF(Inventario!B100="","",Inventario!B100)</f>
        <v>#N/A</v>
      </c>
      <c r="W108" s="31"/>
    </row>
    <row r="109" spans="2:23" ht="15.75" thickBot="1" x14ac:dyDescent="0.3">
      <c r="B109" s="42"/>
      <c r="C109" s="42"/>
      <c r="D109" s="7"/>
      <c r="E109" s="7"/>
      <c r="F109" s="7"/>
      <c r="J109" s="34" t="str">
        <f>IF(Inventario!A101="","",Inventario!A101)</f>
        <v/>
      </c>
      <c r="K109" s="35" t="str">
        <f>IF(Inventario!B101="","",Inventario!B101)</f>
        <v/>
      </c>
      <c r="W109" s="31"/>
    </row>
    <row r="110" spans="2:23" ht="15.75" thickBot="1" x14ac:dyDescent="0.3">
      <c r="B110" s="42"/>
      <c r="C110" s="42"/>
      <c r="D110" s="7"/>
      <c r="E110" s="7"/>
      <c r="F110" s="7"/>
      <c r="J110" s="34" t="str">
        <f>IF(Inventario!A102="","",Inventario!A102)</f>
        <v/>
      </c>
      <c r="K110" s="35" t="str">
        <f>IF(Inventario!B102="","",Inventario!B102)</f>
        <v/>
      </c>
      <c r="W110" s="31"/>
    </row>
    <row r="111" spans="2:23" ht="15.75" thickBot="1" x14ac:dyDescent="0.3">
      <c r="B111" s="42"/>
      <c r="C111" s="42"/>
      <c r="D111" s="7"/>
      <c r="E111" s="7"/>
      <c r="F111" s="7"/>
      <c r="J111" s="34" t="str">
        <f>IF(Inventario!A103="","",Inventario!A103)</f>
        <v/>
      </c>
      <c r="K111" s="35" t="str">
        <f>IF(Inventario!B103="","",Inventario!B103)</f>
        <v/>
      </c>
      <c r="W111" s="31"/>
    </row>
    <row r="112" spans="2:23" ht="15.75" thickBot="1" x14ac:dyDescent="0.3">
      <c r="B112" s="42"/>
      <c r="C112" s="42"/>
      <c r="D112" s="7"/>
      <c r="E112" s="7"/>
      <c r="F112" s="7"/>
      <c r="J112" s="34" t="str">
        <f>IF(Inventario!A104="","",Inventario!A104)</f>
        <v/>
      </c>
      <c r="K112" s="35" t="str">
        <f>IF(Inventario!B104="","",Inventario!B104)</f>
        <v/>
      </c>
      <c r="W112" s="31"/>
    </row>
    <row r="113" spans="2:23" ht="15.75" thickBot="1" x14ac:dyDescent="0.3">
      <c r="B113" s="42"/>
      <c r="C113" s="42"/>
      <c r="D113" s="7"/>
      <c r="E113" s="7"/>
      <c r="F113" s="7"/>
      <c r="J113" s="34" t="str">
        <f>IF(Inventario!A105="","",Inventario!A105)</f>
        <v/>
      </c>
      <c r="K113" s="35" t="str">
        <f>IF(Inventario!B105="","",Inventario!B105)</f>
        <v/>
      </c>
      <c r="W113" s="31"/>
    </row>
    <row r="114" spans="2:23" ht="15.75" thickBot="1" x14ac:dyDescent="0.3">
      <c r="B114" s="42"/>
      <c r="C114" s="42"/>
      <c r="D114" s="7"/>
      <c r="E114" s="7"/>
      <c r="F114" s="7"/>
      <c r="J114" s="34" t="str">
        <f>IF(Inventario!A106="","",Inventario!A106)</f>
        <v/>
      </c>
      <c r="K114" s="35" t="str">
        <f>IF(Inventario!B106="","",Inventario!B106)</f>
        <v/>
      </c>
      <c r="W114" s="31"/>
    </row>
    <row r="115" spans="2:23" ht="15.75" thickBot="1" x14ac:dyDescent="0.3">
      <c r="B115" s="42"/>
      <c r="C115" s="42"/>
      <c r="D115" s="7"/>
      <c r="E115" s="7"/>
      <c r="F115" s="7"/>
      <c r="J115" s="34" t="str">
        <f>IF(Inventario!A107="","",Inventario!A107)</f>
        <v/>
      </c>
      <c r="K115" s="35" t="str">
        <f>IF(Inventario!B107="","",Inventario!B107)</f>
        <v/>
      </c>
      <c r="W115" s="31"/>
    </row>
    <row r="116" spans="2:23" ht="15.75" thickBot="1" x14ac:dyDescent="0.3">
      <c r="B116" s="42"/>
      <c r="C116" s="42"/>
      <c r="D116" s="7"/>
      <c r="E116" s="7"/>
      <c r="F116" s="7"/>
      <c r="J116" s="34" t="str">
        <f>IF(Inventario!A108="","",Inventario!A108)</f>
        <v/>
      </c>
      <c r="K116" s="35" t="str">
        <f>IF(Inventario!B108="","",Inventario!B108)</f>
        <v/>
      </c>
      <c r="W116" s="31"/>
    </row>
    <row r="117" spans="2:23" ht="15.75" thickBot="1" x14ac:dyDescent="0.3">
      <c r="B117" s="42"/>
      <c r="C117" s="42"/>
      <c r="D117" s="7"/>
      <c r="E117" s="7"/>
      <c r="F117" s="7"/>
      <c r="J117" s="34" t="str">
        <f>IF(Inventario!A109="","",Inventario!A109)</f>
        <v/>
      </c>
      <c r="K117" s="35" t="str">
        <f>IF(Inventario!B109="","",Inventario!B109)</f>
        <v/>
      </c>
      <c r="W117" s="31"/>
    </row>
    <row r="118" spans="2:23" ht="15.75" thickBot="1" x14ac:dyDescent="0.3">
      <c r="B118" s="42"/>
      <c r="C118" s="42"/>
      <c r="D118" s="7"/>
      <c r="E118" s="7"/>
      <c r="F118" s="7"/>
      <c r="J118" s="34" t="str">
        <f>IF(Inventario!A110="","",Inventario!A110)</f>
        <v/>
      </c>
      <c r="K118" s="35" t="str">
        <f>IF(Inventario!B110="","",Inventario!B110)</f>
        <v/>
      </c>
      <c r="W118" s="31"/>
    </row>
    <row r="119" spans="2:23" ht="15.75" thickBot="1" x14ac:dyDescent="0.3">
      <c r="B119" s="42"/>
      <c r="C119" s="42"/>
      <c r="D119" s="7"/>
      <c r="E119" s="7"/>
      <c r="F119" s="7"/>
      <c r="J119" s="34" t="str">
        <f>IF(Inventario!A111="","",Inventario!A111)</f>
        <v/>
      </c>
      <c r="K119" s="35" t="str">
        <f>IF(Inventario!B111="","",Inventario!B111)</f>
        <v/>
      </c>
      <c r="W119" s="31"/>
    </row>
    <row r="120" spans="2:23" ht="15.75" thickBot="1" x14ac:dyDescent="0.3">
      <c r="B120" s="42"/>
      <c r="C120" s="42"/>
      <c r="D120" s="7"/>
      <c r="E120" s="7"/>
      <c r="F120" s="7"/>
      <c r="J120" s="34" t="str">
        <f>IF(Inventario!A112="","",Inventario!A112)</f>
        <v/>
      </c>
      <c r="K120" s="35" t="str">
        <f>IF(Inventario!B112="","",Inventario!B112)</f>
        <v/>
      </c>
      <c r="W120" s="31"/>
    </row>
    <row r="121" spans="2:23" ht="15.75" thickBot="1" x14ac:dyDescent="0.3">
      <c r="B121" s="42"/>
      <c r="C121" s="42"/>
      <c r="D121" s="7"/>
      <c r="E121" s="7"/>
      <c r="F121" s="7"/>
      <c r="J121" s="34" t="str">
        <f>IF(Inventario!A113="","",Inventario!A113)</f>
        <v/>
      </c>
      <c r="K121" s="35" t="str">
        <f>IF(Inventario!B113="","",Inventario!B113)</f>
        <v/>
      </c>
      <c r="W121" s="31"/>
    </row>
    <row r="122" spans="2:23" ht="15.75" thickBot="1" x14ac:dyDescent="0.3">
      <c r="B122" s="42"/>
      <c r="C122" s="42"/>
      <c r="D122" s="7"/>
      <c r="E122" s="7"/>
      <c r="F122" s="7"/>
      <c r="J122" s="34" t="str">
        <f>IF(Inventario!A114="","",Inventario!A114)</f>
        <v/>
      </c>
      <c r="K122" s="35" t="str">
        <f>IF(Inventario!B114="","",Inventario!B114)</f>
        <v/>
      </c>
      <c r="W122" s="31"/>
    </row>
    <row r="123" spans="2:23" ht="15.75" thickBot="1" x14ac:dyDescent="0.3">
      <c r="B123" s="42"/>
      <c r="C123" s="42"/>
      <c r="D123" s="7"/>
      <c r="E123" s="7"/>
      <c r="F123" s="7"/>
      <c r="J123" s="34" t="str">
        <f>IF(Inventario!A115="","",Inventario!A115)</f>
        <v/>
      </c>
      <c r="K123" s="35" t="str">
        <f>IF(Inventario!B115="","",Inventario!B115)</f>
        <v/>
      </c>
      <c r="W123" s="31"/>
    </row>
    <row r="124" spans="2:23" ht="15.75" thickBot="1" x14ac:dyDescent="0.3">
      <c r="B124" s="42"/>
      <c r="C124" s="42"/>
      <c r="D124" s="7"/>
      <c r="E124" s="7"/>
      <c r="F124" s="7"/>
      <c r="J124" s="34" t="str">
        <f>IF(Inventario!A116="","",Inventario!A116)</f>
        <v/>
      </c>
      <c r="K124" s="35" t="str">
        <f>IF(Inventario!B116="","",Inventario!B116)</f>
        <v/>
      </c>
      <c r="W124" s="31"/>
    </row>
    <row r="125" spans="2:23" ht="15.75" thickBot="1" x14ac:dyDescent="0.3">
      <c r="B125" s="42"/>
      <c r="C125" s="42"/>
      <c r="D125" s="7"/>
      <c r="E125" s="7"/>
      <c r="F125" s="7"/>
      <c r="J125" s="34" t="str">
        <f>IF(Inventario!A117="","",Inventario!A117)</f>
        <v/>
      </c>
      <c r="K125" s="35" t="str">
        <f>IF(Inventario!B117="","",Inventario!B117)</f>
        <v/>
      </c>
      <c r="W125" s="31"/>
    </row>
    <row r="126" spans="2:23" ht="15.75" thickBot="1" x14ac:dyDescent="0.3">
      <c r="B126" s="42"/>
      <c r="C126" s="42"/>
      <c r="D126" s="7"/>
      <c r="E126" s="7"/>
      <c r="F126" s="7"/>
      <c r="J126" s="34" t="str">
        <f>IF(Inventario!A118="","",Inventario!A118)</f>
        <v/>
      </c>
      <c r="K126" s="35" t="str">
        <f>IF(Inventario!B118="","",Inventario!B118)</f>
        <v/>
      </c>
      <c r="W126" s="31"/>
    </row>
    <row r="127" spans="2:23" ht="15.75" thickBot="1" x14ac:dyDescent="0.3">
      <c r="B127" s="42"/>
      <c r="C127" s="42"/>
      <c r="D127" s="7"/>
      <c r="E127" s="7"/>
      <c r="F127" s="7"/>
      <c r="J127" s="34" t="str">
        <f>IF(Inventario!A119="","",Inventario!A119)</f>
        <v/>
      </c>
      <c r="K127" s="35" t="str">
        <f>IF(Inventario!B119="","",Inventario!B119)</f>
        <v/>
      </c>
      <c r="W127" s="31"/>
    </row>
    <row r="128" spans="2:23" ht="15.75" thickBot="1" x14ac:dyDescent="0.3">
      <c r="B128" s="42"/>
      <c r="C128" s="42"/>
      <c r="D128" s="7"/>
      <c r="E128" s="7"/>
      <c r="F128" s="7"/>
      <c r="J128" s="34" t="str">
        <f>IF(Inventario!A120="","",Inventario!A120)</f>
        <v/>
      </c>
      <c r="K128" s="35" t="str">
        <f>IF(Inventario!B120="","",Inventario!B120)</f>
        <v/>
      </c>
      <c r="W128" s="31"/>
    </row>
    <row r="129" spans="2:23" ht="15.75" thickBot="1" x14ac:dyDescent="0.3">
      <c r="B129" s="42"/>
      <c r="C129" s="42"/>
      <c r="D129" s="7"/>
      <c r="E129" s="7"/>
      <c r="F129" s="7"/>
      <c r="J129" s="34" t="str">
        <f>IF(Inventario!A121="","",Inventario!A121)</f>
        <v/>
      </c>
      <c r="K129" s="35" t="str">
        <f>IF(Inventario!B121="","",Inventario!B121)</f>
        <v/>
      </c>
      <c r="W129" s="31"/>
    </row>
    <row r="130" spans="2:23" ht="15.75" thickBot="1" x14ac:dyDescent="0.3">
      <c r="B130" s="42"/>
      <c r="C130" s="42"/>
      <c r="D130" s="7"/>
      <c r="E130" s="7"/>
      <c r="F130" s="7"/>
      <c r="J130" s="34" t="str">
        <f>IF(Inventario!A122="","",Inventario!A122)</f>
        <v/>
      </c>
      <c r="K130" s="35" t="str">
        <f>IF(Inventario!B122="","",Inventario!B122)</f>
        <v/>
      </c>
      <c r="W130" s="31"/>
    </row>
    <row r="131" spans="2:23" ht="15.75" thickBot="1" x14ac:dyDescent="0.3">
      <c r="B131" s="42"/>
      <c r="C131" s="42"/>
      <c r="D131" s="7"/>
      <c r="E131" s="7"/>
      <c r="F131" s="7"/>
      <c r="J131" s="34" t="str">
        <f>IF(Inventario!A123="","",Inventario!A123)</f>
        <v/>
      </c>
      <c r="K131" s="35" t="str">
        <f>IF(Inventario!B123="","",Inventario!B123)</f>
        <v/>
      </c>
      <c r="W131" s="31"/>
    </row>
    <row r="132" spans="2:23" ht="15.75" thickBot="1" x14ac:dyDescent="0.3">
      <c r="B132" s="42"/>
      <c r="C132" s="42"/>
      <c r="D132" s="7"/>
      <c r="E132" s="7"/>
      <c r="F132" s="7"/>
      <c r="J132" s="34" t="str">
        <f>IF(Inventario!A124="","",Inventario!A124)</f>
        <v/>
      </c>
      <c r="K132" s="35" t="str">
        <f>IF(Inventario!B124="","",Inventario!B124)</f>
        <v/>
      </c>
      <c r="W132" s="31"/>
    </row>
    <row r="133" spans="2:23" ht="15.75" thickBot="1" x14ac:dyDescent="0.3">
      <c r="B133" s="42"/>
      <c r="C133" s="42"/>
      <c r="D133" s="7"/>
      <c r="E133" s="7"/>
      <c r="F133" s="7"/>
      <c r="J133" s="34" t="str">
        <f>IF(Inventario!A125="","",Inventario!A125)</f>
        <v/>
      </c>
      <c r="K133" s="35" t="str">
        <f>IF(Inventario!B125="","",Inventario!B125)</f>
        <v/>
      </c>
      <c r="W133" s="31"/>
    </row>
    <row r="134" spans="2:23" ht="15.75" thickBot="1" x14ac:dyDescent="0.3">
      <c r="B134" s="42"/>
      <c r="C134" s="42"/>
      <c r="D134" s="7"/>
      <c r="E134" s="7"/>
      <c r="F134" s="7"/>
      <c r="J134" s="34" t="str">
        <f>IF(Inventario!A126="","",Inventario!A126)</f>
        <v/>
      </c>
      <c r="K134" s="35" t="str">
        <f>IF(Inventario!B126="","",Inventario!B126)</f>
        <v/>
      </c>
      <c r="W134" s="31"/>
    </row>
    <row r="135" spans="2:23" ht="15.75" thickBot="1" x14ac:dyDescent="0.3">
      <c r="B135" s="42"/>
      <c r="C135" s="42"/>
      <c r="D135" s="7"/>
      <c r="E135" s="7"/>
      <c r="F135" s="7"/>
      <c r="J135" s="34" t="str">
        <f>IF(Inventario!A127="","",Inventario!A127)</f>
        <v/>
      </c>
      <c r="K135" s="35" t="str">
        <f>IF(Inventario!B127="","",Inventario!B127)</f>
        <v/>
      </c>
      <c r="W135" s="31"/>
    </row>
    <row r="136" spans="2:23" ht="15.75" thickBot="1" x14ac:dyDescent="0.3">
      <c r="B136" s="42"/>
      <c r="C136" s="42"/>
      <c r="D136" s="7"/>
      <c r="E136" s="7"/>
      <c r="F136" s="7"/>
      <c r="J136" s="34" t="str">
        <f>IF(Inventario!A128="","",Inventario!A128)</f>
        <v/>
      </c>
      <c r="K136" s="35" t="str">
        <f>IF(Inventario!B128="","",Inventario!B128)</f>
        <v/>
      </c>
      <c r="W136" s="31"/>
    </row>
    <row r="137" spans="2:23" ht="15.75" thickBot="1" x14ac:dyDescent="0.3">
      <c r="B137" s="42"/>
      <c r="C137" s="42"/>
      <c r="D137" s="7"/>
      <c r="E137" s="7"/>
      <c r="F137" s="7"/>
      <c r="J137" s="34" t="str">
        <f>IF(Inventario!A129="","",Inventario!A129)</f>
        <v/>
      </c>
      <c r="K137" s="35" t="str">
        <f>IF(Inventario!B129="","",Inventario!B129)</f>
        <v/>
      </c>
      <c r="W137" s="31"/>
    </row>
    <row r="138" spans="2:23" ht="15.75" thickBot="1" x14ac:dyDescent="0.3">
      <c r="B138" s="42"/>
      <c r="C138" s="42"/>
      <c r="D138" s="7"/>
      <c r="E138" s="7"/>
      <c r="F138" s="7"/>
      <c r="J138" s="34" t="str">
        <f>IF(Inventario!A130="","",Inventario!A130)</f>
        <v/>
      </c>
      <c r="K138" s="35" t="str">
        <f>IF(Inventario!B130="","",Inventario!B130)</f>
        <v/>
      </c>
      <c r="W138" s="31"/>
    </row>
    <row r="139" spans="2:23" ht="15.75" thickBot="1" x14ac:dyDescent="0.3">
      <c r="B139" s="42"/>
      <c r="C139" s="42"/>
      <c r="D139" s="7"/>
      <c r="E139" s="7"/>
      <c r="F139" s="7"/>
      <c r="J139" s="34" t="str">
        <f>IF(Inventario!A131="","",Inventario!A131)</f>
        <v/>
      </c>
      <c r="K139" s="35" t="str">
        <f>IF(Inventario!B131="","",Inventario!B131)</f>
        <v/>
      </c>
      <c r="W139" s="31"/>
    </row>
    <row r="140" spans="2:23" ht="15.75" thickBot="1" x14ac:dyDescent="0.3">
      <c r="B140" s="42"/>
      <c r="C140" s="42"/>
      <c r="D140" s="7"/>
      <c r="E140" s="7"/>
      <c r="F140" s="7"/>
      <c r="J140" s="34" t="str">
        <f>IF(Inventario!A132="","",Inventario!A132)</f>
        <v/>
      </c>
      <c r="K140" s="35" t="str">
        <f>IF(Inventario!B132="","",Inventario!B132)</f>
        <v/>
      </c>
      <c r="W140" s="31"/>
    </row>
    <row r="141" spans="2:23" ht="15.75" thickBot="1" x14ac:dyDescent="0.3">
      <c r="B141" s="42"/>
      <c r="C141" s="42"/>
      <c r="D141" s="7"/>
      <c r="E141" s="7"/>
      <c r="F141" s="7"/>
      <c r="J141" s="34" t="str">
        <f>IF(Inventario!A133="","",Inventario!A133)</f>
        <v/>
      </c>
      <c r="K141" s="35" t="str">
        <f>IF(Inventario!B133="","",Inventario!B133)</f>
        <v/>
      </c>
      <c r="W141" s="31"/>
    </row>
    <row r="142" spans="2:23" ht="15.75" thickBot="1" x14ac:dyDescent="0.3">
      <c r="B142" s="42"/>
      <c r="C142" s="42"/>
      <c r="D142" s="7"/>
      <c r="E142" s="7"/>
      <c r="F142" s="7"/>
      <c r="J142" s="34" t="str">
        <f>IF(Inventario!A134="","",Inventario!A134)</f>
        <v/>
      </c>
      <c r="K142" s="35" t="str">
        <f>IF(Inventario!B134="","",Inventario!B134)</f>
        <v/>
      </c>
      <c r="W142" s="31"/>
    </row>
    <row r="143" spans="2:23" ht="15.75" thickBot="1" x14ac:dyDescent="0.3">
      <c r="B143" s="42"/>
      <c r="C143" s="42"/>
      <c r="D143" s="7"/>
      <c r="E143" s="7"/>
      <c r="F143" s="7"/>
      <c r="J143" s="34" t="str">
        <f>IF(Inventario!A135="","",Inventario!A135)</f>
        <v/>
      </c>
      <c r="K143" s="35" t="str">
        <f>IF(Inventario!B135="","",Inventario!B135)</f>
        <v/>
      </c>
      <c r="W143" s="31"/>
    </row>
    <row r="144" spans="2:23" ht="15.75" thickBot="1" x14ac:dyDescent="0.3">
      <c r="B144" s="42"/>
      <c r="C144" s="42"/>
      <c r="D144" s="7"/>
      <c r="E144" s="7"/>
      <c r="F144" s="7"/>
      <c r="J144" s="34" t="str">
        <f>IF(Inventario!A136="","",Inventario!A136)</f>
        <v/>
      </c>
      <c r="K144" s="35" t="str">
        <f>IF(Inventario!B136="","",Inventario!B136)</f>
        <v/>
      </c>
      <c r="W144" s="31"/>
    </row>
    <row r="145" spans="2:23" ht="15.75" thickBot="1" x14ac:dyDescent="0.3">
      <c r="B145" s="42"/>
      <c r="C145" s="42"/>
      <c r="D145" s="7"/>
      <c r="E145" s="7"/>
      <c r="F145" s="7"/>
      <c r="J145" s="34" t="str">
        <f>IF(Inventario!A137="","",Inventario!A137)</f>
        <v/>
      </c>
      <c r="K145" s="35" t="str">
        <f>IF(Inventario!B137="","",Inventario!B137)</f>
        <v/>
      </c>
      <c r="W145" s="31"/>
    </row>
    <row r="146" spans="2:23" ht="15.75" thickBot="1" x14ac:dyDescent="0.3">
      <c r="B146" s="42"/>
      <c r="C146" s="42"/>
      <c r="D146" s="7"/>
      <c r="E146" s="7"/>
      <c r="F146" s="7"/>
      <c r="J146" s="34" t="str">
        <f>IF(Inventario!A138="","",Inventario!A138)</f>
        <v/>
      </c>
      <c r="K146" s="35" t="str">
        <f>IF(Inventario!B138="","",Inventario!B138)</f>
        <v/>
      </c>
      <c r="W146" s="31"/>
    </row>
    <row r="147" spans="2:23" ht="15.75" thickBot="1" x14ac:dyDescent="0.3">
      <c r="B147" s="42"/>
      <c r="C147" s="42"/>
      <c r="D147" s="7"/>
      <c r="E147" s="7"/>
      <c r="F147" s="7"/>
      <c r="J147" s="34" t="str">
        <f>IF(Inventario!A139="","",Inventario!A139)</f>
        <v/>
      </c>
      <c r="K147" s="35" t="str">
        <f>IF(Inventario!B139="","",Inventario!B139)</f>
        <v/>
      </c>
      <c r="W147" s="31"/>
    </row>
    <row r="148" spans="2:23" ht="15.75" thickBot="1" x14ac:dyDescent="0.3">
      <c r="B148" s="42"/>
      <c r="C148" s="42"/>
      <c r="D148" s="7"/>
      <c r="E148" s="7"/>
      <c r="F148" s="7"/>
      <c r="J148" s="34" t="str">
        <f>IF(Inventario!A140="","",Inventario!A140)</f>
        <v/>
      </c>
      <c r="K148" s="35" t="str">
        <f>IF(Inventario!B140="","",Inventario!B140)</f>
        <v/>
      </c>
      <c r="W148" s="31"/>
    </row>
    <row r="149" spans="2:23" ht="15.75" thickBot="1" x14ac:dyDescent="0.3">
      <c r="B149" s="42"/>
      <c r="C149" s="42"/>
      <c r="D149" s="7"/>
      <c r="E149" s="7"/>
      <c r="F149" s="7"/>
      <c r="J149" s="34" t="str">
        <f>IF(Inventario!A141="","",Inventario!A141)</f>
        <v/>
      </c>
      <c r="K149" s="35" t="str">
        <f>IF(Inventario!B141="","",Inventario!B141)</f>
        <v/>
      </c>
      <c r="W149" s="31"/>
    </row>
    <row r="150" spans="2:23" ht="15.75" thickBot="1" x14ac:dyDescent="0.3">
      <c r="B150" s="42"/>
      <c r="C150" s="42"/>
      <c r="D150" s="7"/>
      <c r="E150" s="7"/>
      <c r="F150" s="7"/>
      <c r="J150" s="34" t="str">
        <f>IF(Inventario!A142="","",Inventario!A142)</f>
        <v/>
      </c>
      <c r="K150" s="35" t="str">
        <f>IF(Inventario!B142="","",Inventario!B142)</f>
        <v/>
      </c>
      <c r="W150" s="31"/>
    </row>
    <row r="151" spans="2:23" ht="15.75" thickBot="1" x14ac:dyDescent="0.3">
      <c r="B151" s="42"/>
      <c r="C151" s="42"/>
      <c r="D151" s="7"/>
      <c r="E151" s="7"/>
      <c r="F151" s="7"/>
      <c r="J151" s="34" t="str">
        <f>IF(Inventario!A143="","",Inventario!A143)</f>
        <v/>
      </c>
      <c r="K151" s="35" t="str">
        <f>IF(Inventario!B143="","",Inventario!B143)</f>
        <v/>
      </c>
      <c r="W151" s="31"/>
    </row>
    <row r="152" spans="2:23" ht="15.75" thickBot="1" x14ac:dyDescent="0.3">
      <c r="B152" s="42"/>
      <c r="C152" s="42"/>
      <c r="D152" s="7"/>
      <c r="E152" s="7"/>
      <c r="F152" s="7"/>
      <c r="J152" s="34" t="str">
        <f>IF(Inventario!A144="","",Inventario!A144)</f>
        <v/>
      </c>
      <c r="K152" s="35" t="str">
        <f>IF(Inventario!B144="","",Inventario!B144)</f>
        <v/>
      </c>
      <c r="W152" s="31"/>
    </row>
    <row r="153" spans="2:23" ht="15.75" thickBot="1" x14ac:dyDescent="0.3">
      <c r="B153" s="42"/>
      <c r="C153" s="42"/>
      <c r="D153" s="7"/>
      <c r="E153" s="7"/>
      <c r="F153" s="7"/>
      <c r="J153" s="34" t="str">
        <f>IF(Inventario!A145="","",Inventario!A145)</f>
        <v/>
      </c>
      <c r="K153" s="35" t="str">
        <f>IF(Inventario!B145="","",Inventario!B145)</f>
        <v/>
      </c>
      <c r="W153" s="31"/>
    </row>
    <row r="154" spans="2:23" ht="15.75" thickBot="1" x14ac:dyDescent="0.3">
      <c r="B154" s="42"/>
      <c r="C154" s="42"/>
      <c r="D154" s="7"/>
      <c r="E154" s="7"/>
      <c r="F154" s="7"/>
      <c r="J154" s="34" t="str">
        <f>IF(Inventario!A146="","",Inventario!A146)</f>
        <v/>
      </c>
      <c r="K154" s="35" t="str">
        <f>IF(Inventario!B146="","",Inventario!B146)</f>
        <v/>
      </c>
      <c r="W154" s="31"/>
    </row>
    <row r="155" spans="2:23" ht="15.75" thickBot="1" x14ac:dyDescent="0.3">
      <c r="B155" s="42"/>
      <c r="C155" s="42"/>
      <c r="D155" s="7"/>
      <c r="E155" s="7"/>
      <c r="F155" s="7"/>
      <c r="J155" s="34" t="str">
        <f>IF(Inventario!A147="","",Inventario!A147)</f>
        <v/>
      </c>
      <c r="K155" s="35" t="str">
        <f>IF(Inventario!B147="","",Inventario!B147)</f>
        <v/>
      </c>
      <c r="W155" s="31"/>
    </row>
    <row r="156" spans="2:23" ht="15.75" thickBot="1" x14ac:dyDescent="0.3">
      <c r="B156" s="42"/>
      <c r="C156" s="42"/>
      <c r="D156" s="7"/>
      <c r="E156" s="7"/>
      <c r="F156" s="7"/>
      <c r="J156" s="34" t="str">
        <f>IF(Inventario!A148="","",Inventario!A148)</f>
        <v/>
      </c>
      <c r="K156" s="35" t="str">
        <f>IF(Inventario!B148="","",Inventario!B148)</f>
        <v/>
      </c>
      <c r="W156" s="31"/>
    </row>
    <row r="157" spans="2:23" ht="15.75" thickBot="1" x14ac:dyDescent="0.3">
      <c r="B157" s="42"/>
      <c r="C157" s="42"/>
      <c r="D157" s="7"/>
      <c r="E157" s="7"/>
      <c r="F157" s="7"/>
      <c r="J157" s="34" t="str">
        <f>IF(Inventario!A149="","",Inventario!A149)</f>
        <v/>
      </c>
      <c r="K157" s="35" t="str">
        <f>IF(Inventario!B149="","",Inventario!B149)</f>
        <v/>
      </c>
      <c r="W157" s="31"/>
    </row>
    <row r="158" spans="2:23" ht="15.75" thickBot="1" x14ac:dyDescent="0.3">
      <c r="B158" s="42"/>
      <c r="C158" s="42"/>
      <c r="D158" s="7"/>
      <c r="E158" s="7"/>
      <c r="F158" s="7"/>
      <c r="J158" s="34" t="str">
        <f>IF(Inventario!A150="","",Inventario!A150)</f>
        <v/>
      </c>
      <c r="K158" s="35" t="str">
        <f>IF(Inventario!B150="","",Inventario!B150)</f>
        <v/>
      </c>
      <c r="W158" s="31"/>
    </row>
    <row r="159" spans="2:23" ht="15.75" thickBot="1" x14ac:dyDescent="0.3">
      <c r="B159" s="42"/>
      <c r="C159" s="42"/>
      <c r="D159" s="7"/>
      <c r="E159" s="7"/>
      <c r="F159" s="7"/>
      <c r="J159" s="34" t="str">
        <f>IF(Inventario!A151="","",Inventario!A151)</f>
        <v/>
      </c>
      <c r="K159" s="35" t="str">
        <f>IF(Inventario!B151="","",Inventario!B151)</f>
        <v/>
      </c>
      <c r="W159" s="31"/>
    </row>
    <row r="160" spans="2:23" ht="15.75" thickBot="1" x14ac:dyDescent="0.3">
      <c r="B160" s="42"/>
      <c r="C160" s="42"/>
      <c r="D160" s="7"/>
      <c r="E160" s="7"/>
      <c r="F160" s="7"/>
      <c r="J160" s="34" t="str">
        <f>IF(Inventario!A152="","",Inventario!A152)</f>
        <v/>
      </c>
      <c r="K160" s="35" t="str">
        <f>IF(Inventario!B152="","",Inventario!B152)</f>
        <v/>
      </c>
      <c r="W160" s="31"/>
    </row>
    <row r="161" spans="2:23" ht="15.75" thickBot="1" x14ac:dyDescent="0.3">
      <c r="B161" s="42"/>
      <c r="C161" s="42"/>
      <c r="D161" s="7"/>
      <c r="E161" s="7"/>
      <c r="F161" s="7"/>
      <c r="J161" s="34" t="str">
        <f>IF(Inventario!A153="","",Inventario!A153)</f>
        <v/>
      </c>
      <c r="K161" s="35" t="str">
        <f>IF(Inventario!B153="","",Inventario!B153)</f>
        <v/>
      </c>
      <c r="W161" s="31"/>
    </row>
    <row r="162" spans="2:23" ht="15.75" thickBot="1" x14ac:dyDescent="0.3">
      <c r="B162" s="42"/>
      <c r="C162" s="42"/>
      <c r="D162" s="7"/>
      <c r="E162" s="7"/>
      <c r="F162" s="7"/>
      <c r="J162" s="34" t="str">
        <f>IF(Inventario!A154="","",Inventario!A154)</f>
        <v/>
      </c>
      <c r="K162" s="35" t="str">
        <f>IF(Inventario!B154="","",Inventario!B154)</f>
        <v/>
      </c>
      <c r="W162" s="31"/>
    </row>
    <row r="163" spans="2:23" ht="15.75" thickBot="1" x14ac:dyDescent="0.3">
      <c r="B163" s="42"/>
      <c r="C163" s="42"/>
      <c r="D163" s="7"/>
      <c r="E163" s="7"/>
      <c r="F163" s="7"/>
      <c r="J163" s="34" t="str">
        <f>IF(Inventario!A155="","",Inventario!A155)</f>
        <v/>
      </c>
      <c r="K163" s="35" t="str">
        <f>IF(Inventario!B155="","",Inventario!B155)</f>
        <v/>
      </c>
      <c r="W163" s="31"/>
    </row>
    <row r="164" spans="2:23" ht="15.75" thickBot="1" x14ac:dyDescent="0.3">
      <c r="B164" s="42"/>
      <c r="C164" s="42"/>
      <c r="D164" s="7"/>
      <c r="E164" s="7"/>
      <c r="F164" s="7"/>
      <c r="J164" s="34" t="str">
        <f>IF(Inventario!A156="","",Inventario!A156)</f>
        <v/>
      </c>
      <c r="K164" s="35" t="str">
        <f>IF(Inventario!B156="","",Inventario!B156)</f>
        <v/>
      </c>
      <c r="W164" s="31"/>
    </row>
    <row r="165" spans="2:23" ht="15.75" thickBot="1" x14ac:dyDescent="0.3">
      <c r="B165" s="42"/>
      <c r="C165" s="42"/>
      <c r="D165" s="7"/>
      <c r="E165" s="7"/>
      <c r="F165" s="7"/>
      <c r="J165" s="34" t="str">
        <f>IF(Inventario!A157="","",Inventario!A157)</f>
        <v/>
      </c>
      <c r="K165" s="35" t="str">
        <f>IF(Inventario!B157="","",Inventario!B157)</f>
        <v/>
      </c>
      <c r="W165" s="31"/>
    </row>
    <row r="166" spans="2:23" ht="15.75" thickBot="1" x14ac:dyDescent="0.3">
      <c r="B166" s="42"/>
      <c r="C166" s="42"/>
      <c r="D166" s="7"/>
      <c r="E166" s="7"/>
      <c r="F166" s="7"/>
      <c r="J166" s="34" t="str">
        <f>IF(Inventario!A158="","",Inventario!A158)</f>
        <v/>
      </c>
      <c r="K166" s="35" t="str">
        <f>IF(Inventario!B158="","",Inventario!B158)</f>
        <v/>
      </c>
      <c r="W166" s="31"/>
    </row>
    <row r="167" spans="2:23" ht="15.75" thickBot="1" x14ac:dyDescent="0.3">
      <c r="B167" s="42"/>
      <c r="C167" s="42"/>
      <c r="D167" s="7"/>
      <c r="E167" s="7"/>
      <c r="F167" s="7"/>
      <c r="J167" s="34" t="str">
        <f>IF(Inventario!A159="","",Inventario!A159)</f>
        <v/>
      </c>
      <c r="K167" s="35" t="str">
        <f>IF(Inventario!B159="","",Inventario!B159)</f>
        <v/>
      </c>
      <c r="W167" s="31"/>
    </row>
    <row r="168" spans="2:23" ht="15.75" thickBot="1" x14ac:dyDescent="0.3">
      <c r="B168" s="42"/>
      <c r="C168" s="42"/>
      <c r="D168" s="7"/>
      <c r="E168" s="7"/>
      <c r="F168" s="7"/>
      <c r="J168" s="34" t="str">
        <f>IF(Inventario!A160="","",Inventario!A160)</f>
        <v/>
      </c>
      <c r="K168" s="35" t="str">
        <f>IF(Inventario!B160="","",Inventario!B160)</f>
        <v/>
      </c>
      <c r="W168" s="31"/>
    </row>
    <row r="169" spans="2:23" ht="15.75" thickBot="1" x14ac:dyDescent="0.3">
      <c r="B169" s="42"/>
      <c r="C169" s="42"/>
      <c r="D169" s="7"/>
      <c r="E169" s="7"/>
      <c r="F169" s="7"/>
      <c r="J169" s="34" t="str">
        <f>IF(Inventario!A161="","",Inventario!A161)</f>
        <v/>
      </c>
      <c r="K169" s="35" t="str">
        <f>IF(Inventario!B161="","",Inventario!B161)</f>
        <v/>
      </c>
      <c r="W169" s="31"/>
    </row>
    <row r="170" spans="2:23" ht="15.75" thickBot="1" x14ac:dyDescent="0.3">
      <c r="B170" s="42"/>
      <c r="C170" s="42"/>
      <c r="D170" s="7"/>
      <c r="E170" s="7"/>
      <c r="F170" s="7"/>
      <c r="J170" s="34" t="str">
        <f>IF(Inventario!A162="","",Inventario!A162)</f>
        <v/>
      </c>
      <c r="K170" s="35" t="str">
        <f>IF(Inventario!B162="","",Inventario!B162)</f>
        <v/>
      </c>
      <c r="W170" s="31"/>
    </row>
    <row r="171" spans="2:23" ht="15.75" thickBot="1" x14ac:dyDescent="0.3">
      <c r="B171" s="42"/>
      <c r="C171" s="42"/>
      <c r="D171" s="7"/>
      <c r="E171" s="7"/>
      <c r="F171" s="7"/>
      <c r="J171" s="34" t="str">
        <f>IF(Inventario!A163="","",Inventario!A163)</f>
        <v/>
      </c>
      <c r="K171" s="35" t="str">
        <f>IF(Inventario!B163="","",Inventario!B163)</f>
        <v/>
      </c>
      <c r="W171" s="31"/>
    </row>
    <row r="172" spans="2:23" ht="15.75" thickBot="1" x14ac:dyDescent="0.3">
      <c r="B172" s="42"/>
      <c r="C172" s="42"/>
      <c r="D172" s="7"/>
      <c r="E172" s="7"/>
      <c r="F172" s="7"/>
      <c r="J172" s="34" t="str">
        <f>IF(Inventario!A164="","",Inventario!A164)</f>
        <v/>
      </c>
      <c r="K172" s="35" t="str">
        <f>IF(Inventario!B164="","",Inventario!B164)</f>
        <v/>
      </c>
      <c r="W172" s="31"/>
    </row>
    <row r="173" spans="2:23" ht="15.75" thickBot="1" x14ac:dyDescent="0.3">
      <c r="B173" s="42"/>
      <c r="C173" s="42"/>
      <c r="D173" s="7"/>
      <c r="E173" s="7"/>
      <c r="F173" s="7"/>
      <c r="J173" s="34" t="str">
        <f>IF(Inventario!A165="","",Inventario!A165)</f>
        <v/>
      </c>
      <c r="K173" s="35" t="str">
        <f>IF(Inventario!B165="","",Inventario!B165)</f>
        <v/>
      </c>
      <c r="W173" s="31"/>
    </row>
    <row r="174" spans="2:23" ht="15.75" thickBot="1" x14ac:dyDescent="0.3">
      <c r="B174" s="42"/>
      <c r="C174" s="42"/>
      <c r="D174" s="7"/>
      <c r="E174" s="7"/>
      <c r="F174" s="7"/>
      <c r="J174" s="34" t="str">
        <f>IF(Inventario!A166="","",Inventario!A166)</f>
        <v/>
      </c>
      <c r="K174" s="35" t="str">
        <f>IF(Inventario!B166="","",Inventario!B166)</f>
        <v/>
      </c>
      <c r="W174" s="31"/>
    </row>
    <row r="175" spans="2:23" ht="15.75" thickBot="1" x14ac:dyDescent="0.3">
      <c r="B175" s="42"/>
      <c r="C175" s="42"/>
      <c r="D175" s="7"/>
      <c r="E175" s="7"/>
      <c r="F175" s="7"/>
      <c r="J175" s="34" t="str">
        <f>IF(Inventario!A167="","",Inventario!A167)</f>
        <v/>
      </c>
      <c r="K175" s="35" t="str">
        <f>IF(Inventario!B167="","",Inventario!B167)</f>
        <v/>
      </c>
      <c r="W175" s="31"/>
    </row>
    <row r="176" spans="2:23" ht="15.75" thickBot="1" x14ac:dyDescent="0.3">
      <c r="B176" s="42"/>
      <c r="C176" s="42"/>
      <c r="D176" s="7"/>
      <c r="E176" s="7"/>
      <c r="F176" s="7"/>
      <c r="J176" s="34" t="str">
        <f>IF(Inventario!A168="","",Inventario!A168)</f>
        <v/>
      </c>
      <c r="K176" s="35" t="str">
        <f>IF(Inventario!B168="","",Inventario!B168)</f>
        <v/>
      </c>
      <c r="W176" s="31"/>
    </row>
    <row r="177" spans="2:23" ht="15.75" thickBot="1" x14ac:dyDescent="0.3">
      <c r="B177" s="42"/>
      <c r="C177" s="42"/>
      <c r="D177" s="7"/>
      <c r="E177" s="7"/>
      <c r="F177" s="7"/>
      <c r="J177" s="34" t="str">
        <f>IF(Inventario!A169="","",Inventario!A169)</f>
        <v/>
      </c>
      <c r="K177" s="35" t="str">
        <f>IF(Inventario!B169="","",Inventario!B169)</f>
        <v/>
      </c>
      <c r="W177" s="31"/>
    </row>
    <row r="178" spans="2:23" ht="15.75" thickBot="1" x14ac:dyDescent="0.3">
      <c r="B178" s="42"/>
      <c r="C178" s="42"/>
      <c r="D178" s="7"/>
      <c r="E178" s="7"/>
      <c r="F178" s="7"/>
      <c r="J178" s="34" t="str">
        <f>IF(Inventario!A170="","",Inventario!A170)</f>
        <v/>
      </c>
      <c r="K178" s="35" t="str">
        <f>IF(Inventario!B170="","",Inventario!B170)</f>
        <v/>
      </c>
      <c r="W178" s="31"/>
    </row>
    <row r="179" spans="2:23" ht="15.75" thickBot="1" x14ac:dyDescent="0.3">
      <c r="B179" s="42"/>
      <c r="C179" s="42"/>
      <c r="D179" s="7"/>
      <c r="E179" s="7"/>
      <c r="F179" s="7"/>
      <c r="J179" s="34" t="str">
        <f>IF(Inventario!A171="","",Inventario!A171)</f>
        <v/>
      </c>
      <c r="K179" s="35" t="str">
        <f>IF(Inventario!B171="","",Inventario!B171)</f>
        <v/>
      </c>
      <c r="W179" s="31"/>
    </row>
    <row r="180" spans="2:23" ht="15.75" thickBot="1" x14ac:dyDescent="0.3">
      <c r="B180" s="42"/>
      <c r="C180" s="42"/>
      <c r="D180" s="7"/>
      <c r="E180" s="7"/>
      <c r="F180" s="7"/>
      <c r="J180" s="34" t="str">
        <f>IF(Inventario!A172="","",Inventario!A172)</f>
        <v/>
      </c>
      <c r="K180" s="35" t="str">
        <f>IF(Inventario!B172="","",Inventario!B172)</f>
        <v/>
      </c>
      <c r="W180" s="31"/>
    </row>
    <row r="181" spans="2:23" ht="15.75" thickBot="1" x14ac:dyDescent="0.3">
      <c r="B181" s="42"/>
      <c r="C181" s="42"/>
      <c r="D181" s="7"/>
      <c r="E181" s="7"/>
      <c r="F181" s="7"/>
      <c r="J181" s="34" t="str">
        <f>IF(Inventario!A173="","",Inventario!A173)</f>
        <v/>
      </c>
      <c r="K181" s="35" t="str">
        <f>IF(Inventario!B173="","",Inventario!B173)</f>
        <v/>
      </c>
      <c r="W181" s="31"/>
    </row>
    <row r="182" spans="2:23" ht="15.75" thickBot="1" x14ac:dyDescent="0.3">
      <c r="B182" s="42"/>
      <c r="C182" s="42"/>
      <c r="D182" s="7"/>
      <c r="E182" s="7"/>
      <c r="F182" s="7"/>
      <c r="J182" s="34" t="str">
        <f>IF(Inventario!A174="","",Inventario!A174)</f>
        <v/>
      </c>
      <c r="K182" s="35" t="str">
        <f>IF(Inventario!B174="","",Inventario!B174)</f>
        <v/>
      </c>
      <c r="W182" s="31"/>
    </row>
    <row r="183" spans="2:23" ht="15.75" thickBot="1" x14ac:dyDescent="0.3">
      <c r="B183" s="42"/>
      <c r="C183" s="42"/>
      <c r="D183" s="7"/>
      <c r="E183" s="7"/>
      <c r="F183" s="7"/>
      <c r="J183" s="34" t="str">
        <f>IF(Inventario!A175="","",Inventario!A175)</f>
        <v/>
      </c>
      <c r="K183" s="35" t="str">
        <f>IF(Inventario!B175="","",Inventario!B175)</f>
        <v/>
      </c>
      <c r="W183" s="31"/>
    </row>
    <row r="184" spans="2:23" ht="15.75" thickBot="1" x14ac:dyDescent="0.3">
      <c r="B184" s="42"/>
      <c r="C184" s="42"/>
      <c r="D184" s="7"/>
      <c r="E184" s="7"/>
      <c r="F184" s="7"/>
      <c r="J184" s="34" t="str">
        <f>IF(Inventario!A176="","",Inventario!A176)</f>
        <v/>
      </c>
      <c r="K184" s="35" t="str">
        <f>IF(Inventario!B176="","",Inventario!B176)</f>
        <v/>
      </c>
      <c r="W184" s="31"/>
    </row>
    <row r="185" spans="2:23" ht="15.75" thickBot="1" x14ac:dyDescent="0.3">
      <c r="B185" s="42"/>
      <c r="C185" s="42"/>
      <c r="D185" s="7"/>
      <c r="E185" s="7"/>
      <c r="F185" s="7"/>
      <c r="J185" s="34" t="str">
        <f>IF(Inventario!A177="","",Inventario!A177)</f>
        <v/>
      </c>
      <c r="K185" s="35" t="str">
        <f>IF(Inventario!B177="","",Inventario!B177)</f>
        <v/>
      </c>
      <c r="W185" s="31"/>
    </row>
    <row r="186" spans="2:23" ht="15.75" thickBot="1" x14ac:dyDescent="0.3">
      <c r="B186" s="42"/>
      <c r="C186" s="42"/>
      <c r="D186" s="7"/>
      <c r="E186" s="7"/>
      <c r="F186" s="7"/>
      <c r="J186" s="34" t="str">
        <f>IF(Inventario!A178="","",Inventario!A178)</f>
        <v/>
      </c>
      <c r="K186" s="35" t="str">
        <f>IF(Inventario!B178="","",Inventario!B178)</f>
        <v/>
      </c>
      <c r="W186" s="31"/>
    </row>
    <row r="187" spans="2:23" ht="15.75" thickBot="1" x14ac:dyDescent="0.3">
      <c r="B187" s="42"/>
      <c r="C187" s="42"/>
      <c r="D187" s="7"/>
      <c r="E187" s="7"/>
      <c r="F187" s="7"/>
      <c r="J187" s="34" t="str">
        <f>IF(Inventario!A179="","",Inventario!A179)</f>
        <v/>
      </c>
      <c r="K187" s="35" t="str">
        <f>IF(Inventario!B179="","",Inventario!B179)</f>
        <v/>
      </c>
      <c r="W187" s="31"/>
    </row>
    <row r="188" spans="2:23" ht="15.75" thickBot="1" x14ac:dyDescent="0.3">
      <c r="B188" s="42"/>
      <c r="C188" s="42"/>
      <c r="D188" s="7"/>
      <c r="E188" s="7"/>
      <c r="F188" s="7"/>
      <c r="J188" s="34" t="str">
        <f>IF(Inventario!A180="","",Inventario!A180)</f>
        <v/>
      </c>
      <c r="K188" s="35" t="str">
        <f>IF(Inventario!B180="","",Inventario!B180)</f>
        <v/>
      </c>
      <c r="W188" s="31"/>
    </row>
    <row r="189" spans="2:23" ht="15.75" thickBot="1" x14ac:dyDescent="0.3">
      <c r="B189" s="42"/>
      <c r="C189" s="42"/>
      <c r="D189" s="7"/>
      <c r="E189" s="7"/>
      <c r="F189" s="7"/>
      <c r="J189" s="34" t="str">
        <f>IF(Inventario!A181="","",Inventario!A181)</f>
        <v/>
      </c>
      <c r="K189" s="35" t="str">
        <f>IF(Inventario!B181="","",Inventario!B181)</f>
        <v/>
      </c>
      <c r="W189" s="31"/>
    </row>
    <row r="190" spans="2:23" ht="15.75" thickBot="1" x14ac:dyDescent="0.3">
      <c r="B190" s="42"/>
      <c r="C190" s="42"/>
      <c r="D190" s="7"/>
      <c r="E190" s="7"/>
      <c r="F190" s="7"/>
      <c r="J190" s="34" t="str">
        <f>IF(Inventario!A182="","",Inventario!A182)</f>
        <v/>
      </c>
      <c r="K190" s="35" t="str">
        <f>IF(Inventario!B182="","",Inventario!B182)</f>
        <v/>
      </c>
      <c r="W190" s="31"/>
    </row>
    <row r="191" spans="2:23" ht="15.75" thickBot="1" x14ac:dyDescent="0.3">
      <c r="B191" s="42"/>
      <c r="C191" s="42"/>
      <c r="D191" s="7"/>
      <c r="E191" s="7"/>
      <c r="F191" s="7"/>
      <c r="J191" s="34" t="str">
        <f>IF(Inventario!A183="","",Inventario!A183)</f>
        <v/>
      </c>
      <c r="K191" s="35" t="str">
        <f>IF(Inventario!B183="","",Inventario!B183)</f>
        <v/>
      </c>
      <c r="W191" s="31"/>
    </row>
    <row r="192" spans="2:23" ht="15.75" thickBot="1" x14ac:dyDescent="0.3">
      <c r="B192" s="42"/>
      <c r="C192" s="42"/>
      <c r="D192" s="7"/>
      <c r="E192" s="7"/>
      <c r="F192" s="7"/>
      <c r="J192" s="34" t="str">
        <f>IF(Inventario!A184="","",Inventario!A184)</f>
        <v/>
      </c>
      <c r="K192" s="35" t="str">
        <f>IF(Inventario!B184="","",Inventario!B184)</f>
        <v/>
      </c>
      <c r="W192" s="31"/>
    </row>
    <row r="193" spans="2:23" ht="15.75" thickBot="1" x14ac:dyDescent="0.3">
      <c r="B193" s="42"/>
      <c r="C193" s="42"/>
      <c r="D193" s="7"/>
      <c r="E193" s="7"/>
      <c r="F193" s="7"/>
      <c r="J193" s="34" t="str">
        <f>IF(Inventario!A185="","",Inventario!A185)</f>
        <v/>
      </c>
      <c r="K193" s="35" t="str">
        <f>IF(Inventario!B185="","",Inventario!B185)</f>
        <v/>
      </c>
      <c r="W193" s="31"/>
    </row>
    <row r="194" spans="2:23" ht="15.75" thickBot="1" x14ac:dyDescent="0.3">
      <c r="B194" s="42"/>
      <c r="C194" s="42"/>
      <c r="D194" s="7"/>
      <c r="E194" s="7"/>
      <c r="F194" s="7"/>
      <c r="J194" s="34" t="str">
        <f>IF(Inventario!A186="","",Inventario!A186)</f>
        <v/>
      </c>
      <c r="K194" s="35" t="str">
        <f>IF(Inventario!B186="","",Inventario!B186)</f>
        <v/>
      </c>
      <c r="W194" s="31"/>
    </row>
    <row r="195" spans="2:23" ht="15.75" thickBot="1" x14ac:dyDescent="0.3">
      <c r="B195" s="42"/>
      <c r="C195" s="42"/>
      <c r="D195" s="7"/>
      <c r="E195" s="7"/>
      <c r="F195" s="7"/>
      <c r="J195" s="34" t="str">
        <f>IF(Inventario!A187="","",Inventario!A187)</f>
        <v/>
      </c>
      <c r="K195" s="35" t="str">
        <f>IF(Inventario!B187="","",Inventario!B187)</f>
        <v/>
      </c>
      <c r="W195" s="31"/>
    </row>
    <row r="196" spans="2:23" ht="15.75" thickBot="1" x14ac:dyDescent="0.3">
      <c r="B196" s="42"/>
      <c r="C196" s="42"/>
      <c r="D196" s="7"/>
      <c r="E196" s="7"/>
      <c r="F196" s="7"/>
      <c r="J196" s="34" t="str">
        <f>IF(Inventario!A188="","",Inventario!A188)</f>
        <v/>
      </c>
      <c r="K196" s="35" t="str">
        <f>IF(Inventario!B188="","",Inventario!B188)</f>
        <v/>
      </c>
      <c r="W196" s="31"/>
    </row>
    <row r="197" spans="2:23" ht="15.75" thickBot="1" x14ac:dyDescent="0.3">
      <c r="B197" s="42"/>
      <c r="C197" s="42"/>
      <c r="D197" s="7"/>
      <c r="E197" s="7"/>
      <c r="F197" s="7"/>
      <c r="J197" s="34" t="str">
        <f>IF(Inventario!A189="","",Inventario!A189)</f>
        <v/>
      </c>
      <c r="K197" s="35" t="str">
        <f>IF(Inventario!B189="","",Inventario!B189)</f>
        <v/>
      </c>
      <c r="W197" s="31"/>
    </row>
    <row r="198" spans="2:23" ht="15.75" thickBot="1" x14ac:dyDescent="0.3">
      <c r="B198" s="42"/>
      <c r="C198" s="42"/>
      <c r="D198" s="7"/>
      <c r="E198" s="7"/>
      <c r="F198" s="7"/>
      <c r="J198" s="34" t="str">
        <f>IF(Inventario!A190="","",Inventario!A190)</f>
        <v/>
      </c>
      <c r="K198" s="35" t="str">
        <f>IF(Inventario!B190="","",Inventario!B190)</f>
        <v/>
      </c>
      <c r="W198" s="31"/>
    </row>
    <row r="199" spans="2:23" ht="15.75" thickBot="1" x14ac:dyDescent="0.3">
      <c r="B199" s="42"/>
      <c r="C199" s="42"/>
      <c r="D199" s="7"/>
      <c r="E199" s="7"/>
      <c r="F199" s="7"/>
      <c r="J199" s="34" t="str">
        <f>IF(Inventario!A191="","",Inventario!A191)</f>
        <v/>
      </c>
      <c r="K199" s="35" t="str">
        <f>IF(Inventario!B191="","",Inventario!B191)</f>
        <v/>
      </c>
      <c r="W199" s="31"/>
    </row>
    <row r="200" spans="2:23" ht="15.75" thickBot="1" x14ac:dyDescent="0.3">
      <c r="B200" s="42"/>
      <c r="C200" s="42"/>
      <c r="D200" s="7"/>
      <c r="E200" s="7"/>
      <c r="F200" s="7"/>
      <c r="J200" s="34" t="str">
        <f>IF(Inventario!A192="","",Inventario!A192)</f>
        <v/>
      </c>
      <c r="K200" s="35" t="str">
        <f>IF(Inventario!B192="","",Inventario!B192)</f>
        <v/>
      </c>
      <c r="W200" s="31"/>
    </row>
    <row r="201" spans="2:23" ht="15.75" thickBot="1" x14ac:dyDescent="0.3">
      <c r="B201" s="42"/>
      <c r="C201" s="42"/>
      <c r="D201" s="7"/>
      <c r="E201" s="7"/>
      <c r="F201" s="7"/>
      <c r="J201" s="34" t="str">
        <f>IF(Inventario!A193="","",Inventario!A193)</f>
        <v/>
      </c>
      <c r="K201" s="35" t="str">
        <f>IF(Inventario!B193="","",Inventario!B193)</f>
        <v/>
      </c>
      <c r="W201" s="31"/>
    </row>
    <row r="202" spans="2:23" ht="15.75" thickBot="1" x14ac:dyDescent="0.3">
      <c r="B202" s="42"/>
      <c r="C202" s="42"/>
      <c r="D202" s="7"/>
      <c r="E202" s="7"/>
      <c r="F202" s="7"/>
      <c r="J202" s="34" t="str">
        <f>IF(Inventario!A194="","",Inventario!A194)</f>
        <v/>
      </c>
      <c r="K202" s="35" t="str">
        <f>IF(Inventario!B194="","",Inventario!B194)</f>
        <v/>
      </c>
      <c r="W202" s="31"/>
    </row>
    <row r="203" spans="2:23" ht="15.75" thickBot="1" x14ac:dyDescent="0.3">
      <c r="B203" s="42"/>
      <c r="C203" s="42"/>
      <c r="D203" s="7"/>
      <c r="E203" s="7"/>
      <c r="F203" s="7"/>
      <c r="J203" s="34" t="str">
        <f>IF(Inventario!A195="","",Inventario!A195)</f>
        <v/>
      </c>
      <c r="K203" s="35" t="str">
        <f>IF(Inventario!B195="","",Inventario!B195)</f>
        <v/>
      </c>
      <c r="W203" s="31"/>
    </row>
    <row r="204" spans="2:23" ht="15.75" thickBot="1" x14ac:dyDescent="0.3">
      <c r="B204" s="42"/>
      <c r="C204" s="42"/>
      <c r="D204" s="7"/>
      <c r="E204" s="7"/>
      <c r="F204" s="7"/>
      <c r="J204" s="34" t="str">
        <f>IF(Inventario!A196="","",Inventario!A196)</f>
        <v/>
      </c>
      <c r="K204" s="35" t="str">
        <f>IF(Inventario!B196="","",Inventario!B196)</f>
        <v/>
      </c>
      <c r="W204" s="31"/>
    </row>
    <row r="205" spans="2:23" ht="15.75" thickBot="1" x14ac:dyDescent="0.3">
      <c r="B205" s="42"/>
      <c r="C205" s="42"/>
      <c r="D205" s="7"/>
      <c r="E205" s="7"/>
      <c r="F205" s="7"/>
      <c r="J205" s="34" t="str">
        <f>IF(Inventario!A197="","",Inventario!A197)</f>
        <v/>
      </c>
      <c r="K205" s="35" t="str">
        <f>IF(Inventario!B197="","",Inventario!B197)</f>
        <v/>
      </c>
      <c r="W205" s="31"/>
    </row>
    <row r="206" spans="2:23" ht="15.75" thickBot="1" x14ac:dyDescent="0.3">
      <c r="B206" s="42"/>
      <c r="C206" s="42"/>
      <c r="D206" s="7"/>
      <c r="E206" s="7"/>
      <c r="F206" s="7"/>
      <c r="J206" s="34" t="str">
        <f>IF(Inventario!A198="","",Inventario!A198)</f>
        <v/>
      </c>
      <c r="K206" s="35" t="str">
        <f>IF(Inventario!B198="","",Inventario!B198)</f>
        <v/>
      </c>
      <c r="W206" s="31"/>
    </row>
    <row r="207" spans="2:23" ht="15.75" thickBot="1" x14ac:dyDescent="0.3">
      <c r="B207" s="42"/>
      <c r="C207" s="42"/>
      <c r="D207" s="7"/>
      <c r="E207" s="7"/>
      <c r="F207" s="7"/>
      <c r="J207" s="34" t="str">
        <f>IF(Inventario!A199="","",Inventario!A199)</f>
        <v/>
      </c>
      <c r="K207" s="35" t="str">
        <f>IF(Inventario!B199="","",Inventario!B199)</f>
        <v/>
      </c>
      <c r="W207" s="31"/>
    </row>
    <row r="208" spans="2:23" ht="15.75" thickBot="1" x14ac:dyDescent="0.3">
      <c r="B208" s="42"/>
      <c r="C208" s="42"/>
      <c r="D208" s="7"/>
      <c r="E208" s="7"/>
      <c r="F208" s="7"/>
      <c r="J208" s="34" t="str">
        <f>IF(Inventario!A200="","",Inventario!A200)</f>
        <v/>
      </c>
      <c r="K208" s="35" t="str">
        <f>IF(Inventario!B200="","",Inventario!B200)</f>
        <v/>
      </c>
      <c r="W208" s="31"/>
    </row>
    <row r="209" spans="2:23" ht="15.75" thickBot="1" x14ac:dyDescent="0.3">
      <c r="B209" s="42"/>
      <c r="C209" s="42"/>
      <c r="D209" s="7"/>
      <c r="E209" s="7"/>
      <c r="F209" s="7"/>
      <c r="J209" s="34" t="str">
        <f>IF(Inventario!A201="","",Inventario!A201)</f>
        <v/>
      </c>
      <c r="K209" s="35" t="str">
        <f>IF(Inventario!B201="","",Inventario!B201)</f>
        <v/>
      </c>
      <c r="W209" s="31"/>
    </row>
    <row r="210" spans="2:23" ht="15.75" thickBot="1" x14ac:dyDescent="0.3">
      <c r="B210" s="42"/>
      <c r="C210" s="42"/>
      <c r="D210" s="7"/>
      <c r="E210" s="7"/>
      <c r="F210" s="7"/>
      <c r="J210" s="34" t="str">
        <f>IF(Inventario!A202="","",Inventario!A202)</f>
        <v/>
      </c>
      <c r="K210" s="35" t="str">
        <f>IF(Inventario!B202="","",Inventario!B202)</f>
        <v/>
      </c>
      <c r="W210" s="31"/>
    </row>
    <row r="211" spans="2:23" ht="15.75" thickBot="1" x14ac:dyDescent="0.3">
      <c r="B211" s="42"/>
      <c r="C211" s="42"/>
      <c r="D211" s="7"/>
      <c r="E211" s="7"/>
      <c r="F211" s="7"/>
      <c r="J211" s="34" t="str">
        <f>IF(Inventario!A203="","",Inventario!A203)</f>
        <v/>
      </c>
      <c r="K211" s="35" t="str">
        <f>IF(Inventario!B203="","",Inventario!B203)</f>
        <v/>
      </c>
      <c r="W211" s="31"/>
    </row>
    <row r="212" spans="2:23" ht="15.75" thickBot="1" x14ac:dyDescent="0.3">
      <c r="B212" s="42"/>
      <c r="C212" s="42"/>
      <c r="D212" s="7"/>
      <c r="E212" s="7"/>
      <c r="F212" s="7"/>
      <c r="J212" s="34" t="str">
        <f>IF(Inventario!A204="","",Inventario!A204)</f>
        <v/>
      </c>
      <c r="K212" s="35" t="str">
        <f>IF(Inventario!B204="","",Inventario!B204)</f>
        <v/>
      </c>
      <c r="W212" s="31"/>
    </row>
    <row r="213" spans="2:23" ht="15.75" thickBot="1" x14ac:dyDescent="0.3">
      <c r="B213" s="42"/>
      <c r="C213" s="42"/>
      <c r="D213" s="7"/>
      <c r="E213" s="7"/>
      <c r="F213" s="7"/>
      <c r="J213" s="34" t="str">
        <f>IF(Inventario!A205="","",Inventario!A205)</f>
        <v/>
      </c>
      <c r="K213" s="35" t="str">
        <f>IF(Inventario!B205="","",Inventario!B205)</f>
        <v/>
      </c>
      <c r="W213" s="31"/>
    </row>
    <row r="214" spans="2:23" ht="15.75" thickBot="1" x14ac:dyDescent="0.3">
      <c r="B214" s="42"/>
      <c r="C214" s="42"/>
      <c r="D214" s="7"/>
      <c r="E214" s="7"/>
      <c r="F214" s="7"/>
      <c r="J214" s="34" t="str">
        <f>IF(Inventario!A206="","",Inventario!A206)</f>
        <v/>
      </c>
      <c r="K214" s="35" t="str">
        <f>IF(Inventario!B206="","",Inventario!B206)</f>
        <v/>
      </c>
      <c r="W214" s="31"/>
    </row>
    <row r="215" spans="2:23" ht="15.75" thickBot="1" x14ac:dyDescent="0.3">
      <c r="B215" s="42"/>
      <c r="C215" s="42"/>
      <c r="D215" s="7"/>
      <c r="E215" s="7"/>
      <c r="F215" s="7"/>
      <c r="J215" s="34" t="str">
        <f>IF(Inventario!A207="","",Inventario!A207)</f>
        <v/>
      </c>
      <c r="K215" s="35" t="str">
        <f>IF(Inventario!B207="","",Inventario!B207)</f>
        <v/>
      </c>
      <c r="W215" s="31"/>
    </row>
    <row r="216" spans="2:23" ht="15.75" thickBot="1" x14ac:dyDescent="0.3">
      <c r="B216" s="42"/>
      <c r="C216" s="42"/>
      <c r="D216" s="7"/>
      <c r="E216" s="7"/>
      <c r="F216" s="7"/>
      <c r="J216" s="34" t="str">
        <f>IF(Inventario!A208="","",Inventario!A208)</f>
        <v/>
      </c>
      <c r="K216" s="35" t="str">
        <f>IF(Inventario!B208="","",Inventario!B208)</f>
        <v/>
      </c>
      <c r="W216" s="31"/>
    </row>
    <row r="217" spans="2:23" ht="15.75" thickBot="1" x14ac:dyDescent="0.3">
      <c r="B217" s="42"/>
      <c r="C217" s="42"/>
      <c r="D217" s="7"/>
      <c r="E217" s="7"/>
      <c r="F217" s="7"/>
      <c r="J217" s="34" t="str">
        <f>IF(Inventario!A209="","",Inventario!A209)</f>
        <v/>
      </c>
      <c r="K217" s="35" t="str">
        <f>IF(Inventario!B209="","",Inventario!B209)</f>
        <v/>
      </c>
      <c r="W217" s="31"/>
    </row>
    <row r="218" spans="2:23" ht="15.75" thickBot="1" x14ac:dyDescent="0.3">
      <c r="B218" s="42"/>
      <c r="C218" s="42"/>
      <c r="D218" s="7"/>
      <c r="E218" s="7"/>
      <c r="F218" s="7"/>
      <c r="J218" s="34" t="str">
        <f>IF(Inventario!A210="","",Inventario!A210)</f>
        <v/>
      </c>
      <c r="K218" s="35" t="str">
        <f>IF(Inventario!B210="","",Inventario!B210)</f>
        <v/>
      </c>
      <c r="W218" s="31"/>
    </row>
    <row r="219" spans="2:23" ht="15.75" thickBot="1" x14ac:dyDescent="0.3">
      <c r="B219" s="42"/>
      <c r="C219" s="42"/>
      <c r="D219" s="7"/>
      <c r="E219" s="7"/>
      <c r="F219" s="7"/>
      <c r="J219" s="34" t="str">
        <f>IF(Inventario!A211="","",Inventario!A211)</f>
        <v/>
      </c>
      <c r="K219" s="35" t="str">
        <f>IF(Inventario!B211="","",Inventario!B211)</f>
        <v/>
      </c>
      <c r="W219" s="31"/>
    </row>
    <row r="220" spans="2:23" ht="15.75" thickBot="1" x14ac:dyDescent="0.3">
      <c r="B220" s="42"/>
      <c r="C220" s="42"/>
      <c r="D220" s="7"/>
      <c r="E220" s="7"/>
      <c r="F220" s="7"/>
      <c r="J220" s="34" t="str">
        <f>IF(Inventario!A212="","",Inventario!A212)</f>
        <v/>
      </c>
      <c r="K220" s="35" t="str">
        <f>IF(Inventario!B212="","",Inventario!B212)</f>
        <v/>
      </c>
      <c r="W220" s="31"/>
    </row>
    <row r="221" spans="2:23" ht="15.75" thickBot="1" x14ac:dyDescent="0.3">
      <c r="B221" s="42"/>
      <c r="C221" s="42"/>
      <c r="D221" s="7"/>
      <c r="E221" s="7"/>
      <c r="F221" s="7"/>
      <c r="J221" s="34" t="str">
        <f>IF(Inventario!A213="","",Inventario!A213)</f>
        <v/>
      </c>
      <c r="K221" s="35" t="str">
        <f>IF(Inventario!B213="","",Inventario!B213)</f>
        <v/>
      </c>
      <c r="W221" s="31"/>
    </row>
    <row r="222" spans="2:23" ht="15.75" thickBot="1" x14ac:dyDescent="0.3">
      <c r="B222" s="42"/>
      <c r="C222" s="42"/>
      <c r="D222" s="7"/>
      <c r="E222" s="7"/>
      <c r="F222" s="7"/>
      <c r="J222" s="34" t="str">
        <f>IF(Inventario!A214="","",Inventario!A214)</f>
        <v/>
      </c>
      <c r="K222" s="35" t="str">
        <f>IF(Inventario!B214="","",Inventario!B214)</f>
        <v/>
      </c>
      <c r="W222" s="31"/>
    </row>
    <row r="223" spans="2:23" ht="15.75" thickBot="1" x14ac:dyDescent="0.3">
      <c r="B223" s="42"/>
      <c r="C223" s="42"/>
      <c r="D223" s="7"/>
      <c r="E223" s="7"/>
      <c r="F223" s="7"/>
      <c r="J223" s="34" t="str">
        <f>IF(Inventario!A215="","",Inventario!A215)</f>
        <v/>
      </c>
      <c r="K223" s="35" t="str">
        <f>IF(Inventario!B215="","",Inventario!B215)</f>
        <v/>
      </c>
      <c r="W223" s="31"/>
    </row>
    <row r="224" spans="2:23" ht="15.75" thickBot="1" x14ac:dyDescent="0.3">
      <c r="B224" s="42"/>
      <c r="C224" s="42"/>
      <c r="D224" s="7"/>
      <c r="E224" s="7"/>
      <c r="F224" s="7"/>
      <c r="J224" s="34" t="str">
        <f>IF(Inventario!A216="","",Inventario!A216)</f>
        <v/>
      </c>
      <c r="K224" s="35" t="str">
        <f>IF(Inventario!B216="","",Inventario!B216)</f>
        <v/>
      </c>
      <c r="W224" s="31"/>
    </row>
    <row r="225" spans="2:23" ht="15.75" thickBot="1" x14ac:dyDescent="0.3">
      <c r="B225" s="42"/>
      <c r="C225" s="42"/>
      <c r="D225" s="7"/>
      <c r="E225" s="7"/>
      <c r="F225" s="7"/>
      <c r="J225" s="34" t="str">
        <f>IF(Inventario!A217="","",Inventario!A217)</f>
        <v/>
      </c>
      <c r="K225" s="35" t="str">
        <f>IF(Inventario!B217="","",Inventario!B217)</f>
        <v/>
      </c>
      <c r="W225" s="31"/>
    </row>
    <row r="226" spans="2:23" ht="15.75" thickBot="1" x14ac:dyDescent="0.3">
      <c r="B226" s="42"/>
      <c r="C226" s="42"/>
      <c r="D226" s="7"/>
      <c r="E226" s="7"/>
      <c r="F226" s="7"/>
      <c r="J226" s="34" t="str">
        <f>IF(Inventario!A218="","",Inventario!A218)</f>
        <v/>
      </c>
      <c r="K226" s="35" t="str">
        <f>IF(Inventario!B218="","",Inventario!B218)</f>
        <v/>
      </c>
      <c r="W226" s="31"/>
    </row>
    <row r="227" spans="2:23" ht="15.75" thickBot="1" x14ac:dyDescent="0.3">
      <c r="B227" s="42"/>
      <c r="C227" s="42"/>
      <c r="D227" s="7"/>
      <c r="E227" s="7"/>
      <c r="F227" s="7"/>
      <c r="J227" s="34" t="str">
        <f>IF(Inventario!A219="","",Inventario!A219)</f>
        <v/>
      </c>
      <c r="K227" s="35" t="str">
        <f>IF(Inventario!B219="","",Inventario!B219)</f>
        <v/>
      </c>
      <c r="W227" s="31"/>
    </row>
    <row r="228" spans="2:23" ht="15.75" thickBot="1" x14ac:dyDescent="0.3">
      <c r="B228" s="42"/>
      <c r="C228" s="42"/>
      <c r="D228" s="7"/>
      <c r="E228" s="7"/>
      <c r="F228" s="7"/>
      <c r="J228" s="34" t="str">
        <f>IF(Inventario!A220="","",Inventario!A220)</f>
        <v/>
      </c>
      <c r="K228" s="35" t="str">
        <f>IF(Inventario!B220="","",Inventario!B220)</f>
        <v/>
      </c>
      <c r="W228" s="31"/>
    </row>
    <row r="229" spans="2:23" ht="15.75" thickBot="1" x14ac:dyDescent="0.3">
      <c r="B229" s="42"/>
      <c r="C229" s="42"/>
      <c r="D229" s="7"/>
      <c r="E229" s="7"/>
      <c r="F229" s="7"/>
      <c r="J229" s="34" t="str">
        <f>IF(Inventario!A221="","",Inventario!A221)</f>
        <v/>
      </c>
      <c r="K229" s="35" t="str">
        <f>IF(Inventario!B221="","",Inventario!B221)</f>
        <v/>
      </c>
      <c r="W229" s="31"/>
    </row>
    <row r="230" spans="2:23" ht="15.75" thickBot="1" x14ac:dyDescent="0.3">
      <c r="B230" s="42"/>
      <c r="C230" s="42"/>
      <c r="D230" s="7"/>
      <c r="E230" s="7"/>
      <c r="F230" s="7"/>
      <c r="J230" s="34" t="str">
        <f>IF(Inventario!A222="","",Inventario!A222)</f>
        <v/>
      </c>
      <c r="K230" s="35" t="str">
        <f>IF(Inventario!B222="","",Inventario!B222)</f>
        <v/>
      </c>
      <c r="W230" s="31"/>
    </row>
    <row r="231" spans="2:23" ht="15.75" thickBot="1" x14ac:dyDescent="0.3">
      <c r="B231" s="42"/>
      <c r="C231" s="42"/>
      <c r="D231" s="7"/>
      <c r="E231" s="7"/>
      <c r="F231" s="7"/>
      <c r="J231" s="34" t="str">
        <f>IF(Inventario!A223="","",Inventario!A223)</f>
        <v/>
      </c>
      <c r="K231" s="35" t="str">
        <f>IF(Inventario!B223="","",Inventario!B223)</f>
        <v/>
      </c>
      <c r="W231" s="31"/>
    </row>
    <row r="232" spans="2:23" ht="15.75" thickBot="1" x14ac:dyDescent="0.3">
      <c r="B232" s="42"/>
      <c r="C232" s="42"/>
      <c r="D232" s="7"/>
      <c r="E232" s="7"/>
      <c r="F232" s="7"/>
      <c r="J232" s="34" t="str">
        <f>IF(Inventario!A224="","",Inventario!A224)</f>
        <v/>
      </c>
      <c r="K232" s="35" t="str">
        <f>IF(Inventario!B224="","",Inventario!B224)</f>
        <v/>
      </c>
      <c r="W232" s="31"/>
    </row>
    <row r="233" spans="2:23" ht="15.75" thickBot="1" x14ac:dyDescent="0.3">
      <c r="B233" s="42"/>
      <c r="C233" s="42"/>
      <c r="D233" s="7"/>
      <c r="E233" s="7"/>
      <c r="F233" s="7"/>
      <c r="J233" s="34" t="str">
        <f>IF(Inventario!A225="","",Inventario!A225)</f>
        <v/>
      </c>
      <c r="K233" s="35" t="str">
        <f>IF(Inventario!B225="","",Inventario!B225)</f>
        <v/>
      </c>
      <c r="W233" s="31"/>
    </row>
    <row r="234" spans="2:23" ht="15.75" thickBot="1" x14ac:dyDescent="0.3">
      <c r="B234" s="42"/>
      <c r="C234" s="42"/>
      <c r="D234" s="7"/>
      <c r="E234" s="7"/>
      <c r="F234" s="7"/>
      <c r="J234" s="34" t="str">
        <f>IF(Inventario!A226="","",Inventario!A226)</f>
        <v/>
      </c>
      <c r="K234" s="35" t="str">
        <f>IF(Inventario!B226="","",Inventario!B226)</f>
        <v/>
      </c>
      <c r="W234" s="31"/>
    </row>
    <row r="235" spans="2:23" ht="15.75" thickBot="1" x14ac:dyDescent="0.3">
      <c r="B235" s="42"/>
      <c r="C235" s="42"/>
      <c r="D235" s="7"/>
      <c r="E235" s="7"/>
      <c r="F235" s="7"/>
      <c r="J235" s="34" t="str">
        <f>IF(Inventario!A227="","",Inventario!A227)</f>
        <v/>
      </c>
      <c r="K235" s="35" t="str">
        <f>IF(Inventario!B227="","",Inventario!B227)</f>
        <v/>
      </c>
      <c r="W235" s="31"/>
    </row>
    <row r="236" spans="2:23" ht="15.75" thickBot="1" x14ac:dyDescent="0.3">
      <c r="B236" s="42"/>
      <c r="C236" s="42"/>
      <c r="D236" s="7"/>
      <c r="E236" s="7"/>
      <c r="F236" s="7"/>
      <c r="J236" s="34" t="str">
        <f>IF(Inventario!A228="","",Inventario!A228)</f>
        <v/>
      </c>
      <c r="K236" s="35" t="str">
        <f>IF(Inventario!B228="","",Inventario!B228)</f>
        <v/>
      </c>
      <c r="W236" s="31"/>
    </row>
    <row r="237" spans="2:23" ht="15.75" thickBot="1" x14ac:dyDescent="0.3">
      <c r="B237" s="42"/>
      <c r="C237" s="42"/>
      <c r="D237" s="7"/>
      <c r="E237" s="7"/>
      <c r="F237" s="7"/>
      <c r="J237" s="34" t="str">
        <f>IF(Inventario!A229="","",Inventario!A229)</f>
        <v/>
      </c>
      <c r="K237" s="35" t="str">
        <f>IF(Inventario!B229="","",Inventario!B229)</f>
        <v/>
      </c>
      <c r="W237" s="31"/>
    </row>
    <row r="238" spans="2:23" ht="15.75" thickBot="1" x14ac:dyDescent="0.3">
      <c r="B238" s="42"/>
      <c r="C238" s="42"/>
      <c r="D238" s="7"/>
      <c r="E238" s="7"/>
      <c r="F238" s="7"/>
      <c r="J238" s="34" t="str">
        <f>IF(Inventario!A230="","",Inventario!A230)</f>
        <v/>
      </c>
      <c r="K238" s="35" t="str">
        <f>IF(Inventario!B230="","",Inventario!B230)</f>
        <v/>
      </c>
      <c r="W238" s="31"/>
    </row>
    <row r="239" spans="2:23" ht="15.75" thickBot="1" x14ac:dyDescent="0.3">
      <c r="B239" s="42"/>
      <c r="C239" s="42"/>
      <c r="D239" s="7"/>
      <c r="E239" s="7"/>
      <c r="F239" s="7"/>
      <c r="J239" s="34" t="str">
        <f>IF(Inventario!A231="","",Inventario!A231)</f>
        <v/>
      </c>
      <c r="K239" s="35" t="str">
        <f>IF(Inventario!B231="","",Inventario!B231)</f>
        <v/>
      </c>
      <c r="W239" s="31"/>
    </row>
    <row r="240" spans="2:23" ht="15.75" thickBot="1" x14ac:dyDescent="0.3">
      <c r="B240" s="42"/>
      <c r="C240" s="42"/>
      <c r="D240" s="7"/>
      <c r="E240" s="7"/>
      <c r="F240" s="7"/>
      <c r="J240" s="34" t="str">
        <f>IF(Inventario!A232="","",Inventario!A232)</f>
        <v/>
      </c>
      <c r="K240" s="35" t="str">
        <f>IF(Inventario!B232="","",Inventario!B232)</f>
        <v/>
      </c>
      <c r="W240" s="31"/>
    </row>
    <row r="241" spans="2:23" ht="15.75" thickBot="1" x14ac:dyDescent="0.3">
      <c r="B241" s="42"/>
      <c r="C241" s="42"/>
      <c r="D241" s="7"/>
      <c r="E241" s="7"/>
      <c r="F241" s="7"/>
      <c r="J241" s="34" t="str">
        <f>IF(Inventario!A233="","",Inventario!A233)</f>
        <v/>
      </c>
      <c r="K241" s="35" t="str">
        <f>IF(Inventario!B233="","",Inventario!B233)</f>
        <v/>
      </c>
      <c r="W241" s="31"/>
    </row>
    <row r="242" spans="2:23" ht="15.75" thickBot="1" x14ac:dyDescent="0.3">
      <c r="B242" s="42"/>
      <c r="C242" s="42"/>
      <c r="D242" s="7"/>
      <c r="E242" s="7"/>
      <c r="F242" s="7"/>
      <c r="J242" s="34" t="str">
        <f>IF(Inventario!A234="","",Inventario!A234)</f>
        <v/>
      </c>
      <c r="K242" s="35" t="str">
        <f>IF(Inventario!B234="","",Inventario!B234)</f>
        <v/>
      </c>
      <c r="W242" s="31"/>
    </row>
    <row r="243" spans="2:23" ht="15.75" thickBot="1" x14ac:dyDescent="0.3">
      <c r="B243" s="42"/>
      <c r="C243" s="42"/>
      <c r="D243" s="7"/>
      <c r="E243" s="7"/>
      <c r="F243" s="7"/>
      <c r="J243" s="34" t="str">
        <f>IF(Inventario!A235="","",Inventario!A235)</f>
        <v/>
      </c>
      <c r="K243" s="35" t="str">
        <f>IF(Inventario!B235="","",Inventario!B235)</f>
        <v/>
      </c>
      <c r="W243" s="31"/>
    </row>
    <row r="244" spans="2:23" ht="15.75" thickBot="1" x14ac:dyDescent="0.3">
      <c r="B244" s="42"/>
      <c r="C244" s="42"/>
      <c r="D244" s="7"/>
      <c r="E244" s="7"/>
      <c r="F244" s="7"/>
      <c r="J244" s="34" t="str">
        <f>IF(Inventario!A236="","",Inventario!A236)</f>
        <v/>
      </c>
      <c r="K244" s="35" t="str">
        <f>IF(Inventario!B236="","",Inventario!B236)</f>
        <v/>
      </c>
      <c r="W244" s="31"/>
    </row>
    <row r="245" spans="2:23" ht="15.75" thickBot="1" x14ac:dyDescent="0.3">
      <c r="B245" s="42"/>
      <c r="C245" s="42"/>
      <c r="D245" s="7"/>
      <c r="E245" s="7"/>
      <c r="F245" s="7"/>
      <c r="J245" s="34" t="str">
        <f>IF(Inventario!A237="","",Inventario!A237)</f>
        <v/>
      </c>
      <c r="K245" s="35" t="str">
        <f>IF(Inventario!B237="","",Inventario!B237)</f>
        <v/>
      </c>
      <c r="W245" s="31"/>
    </row>
    <row r="246" spans="2:23" ht="15.75" thickBot="1" x14ac:dyDescent="0.3">
      <c r="B246" s="42"/>
      <c r="C246" s="42"/>
      <c r="D246" s="7"/>
      <c r="E246" s="7"/>
      <c r="F246" s="7"/>
      <c r="J246" s="34" t="str">
        <f>IF(Inventario!A238="","",Inventario!A238)</f>
        <v/>
      </c>
      <c r="K246" s="35" t="str">
        <f>IF(Inventario!B238="","",Inventario!B238)</f>
        <v/>
      </c>
      <c r="W246" s="31"/>
    </row>
    <row r="247" spans="2:23" ht="15.75" thickBot="1" x14ac:dyDescent="0.3">
      <c r="B247" s="42"/>
      <c r="C247" s="42"/>
      <c r="D247" s="7"/>
      <c r="E247" s="7"/>
      <c r="F247" s="7"/>
      <c r="J247" s="34" t="str">
        <f>IF(Inventario!A239="","",Inventario!A239)</f>
        <v/>
      </c>
      <c r="K247" s="35" t="str">
        <f>IF(Inventario!B239="","",Inventario!B239)</f>
        <v/>
      </c>
      <c r="W247" s="31"/>
    </row>
    <row r="248" spans="2:23" ht="15.75" thickBot="1" x14ac:dyDescent="0.3">
      <c r="B248" s="42"/>
      <c r="C248" s="42"/>
      <c r="D248" s="7"/>
      <c r="E248" s="7"/>
      <c r="F248" s="7"/>
      <c r="J248" s="34" t="str">
        <f>IF(Inventario!A240="","",Inventario!A240)</f>
        <v/>
      </c>
      <c r="K248" s="35" t="str">
        <f>IF(Inventario!B240="","",Inventario!B240)</f>
        <v/>
      </c>
      <c r="W248" s="31"/>
    </row>
    <row r="249" spans="2:23" ht="15.75" thickBot="1" x14ac:dyDescent="0.3">
      <c r="B249" s="42"/>
      <c r="C249" s="42"/>
      <c r="D249" s="7"/>
      <c r="E249" s="7"/>
      <c r="F249" s="7"/>
      <c r="J249" s="34" t="str">
        <f>IF(Inventario!A241="","",Inventario!A241)</f>
        <v/>
      </c>
      <c r="K249" s="35" t="str">
        <f>IF(Inventario!B241="","",Inventario!B241)</f>
        <v/>
      </c>
      <c r="W249" s="31"/>
    </row>
    <row r="250" spans="2:23" ht="15.75" thickBot="1" x14ac:dyDescent="0.3">
      <c r="B250" s="42"/>
      <c r="C250" s="42"/>
      <c r="D250" s="7"/>
      <c r="E250" s="7"/>
      <c r="F250" s="7"/>
      <c r="J250" s="34" t="str">
        <f>IF(Inventario!A242="","",Inventario!A242)</f>
        <v/>
      </c>
      <c r="K250" s="35" t="str">
        <f>IF(Inventario!B242="","",Inventario!B242)</f>
        <v/>
      </c>
      <c r="W250" s="31"/>
    </row>
    <row r="251" spans="2:23" ht="15.75" thickBot="1" x14ac:dyDescent="0.3">
      <c r="B251" s="42"/>
      <c r="C251" s="42"/>
      <c r="D251" s="7"/>
      <c r="E251" s="7"/>
      <c r="F251" s="7"/>
      <c r="J251" s="34" t="str">
        <f>IF(Inventario!A243="","",Inventario!A243)</f>
        <v/>
      </c>
      <c r="K251" s="35" t="str">
        <f>IF(Inventario!B243="","",Inventario!B243)</f>
        <v/>
      </c>
      <c r="W251" s="31"/>
    </row>
    <row r="252" spans="2:23" ht="15.75" thickBot="1" x14ac:dyDescent="0.3">
      <c r="B252" s="42"/>
      <c r="C252" s="42"/>
      <c r="D252" s="7"/>
      <c r="E252" s="7"/>
      <c r="F252" s="7"/>
      <c r="J252" s="34" t="str">
        <f>IF(Inventario!A244="","",Inventario!A244)</f>
        <v/>
      </c>
      <c r="K252" s="35" t="str">
        <f>IF(Inventario!B244="","",Inventario!B244)</f>
        <v/>
      </c>
      <c r="W252" s="31"/>
    </row>
    <row r="253" spans="2:23" ht="15.75" thickBot="1" x14ac:dyDescent="0.3">
      <c r="B253" s="42"/>
      <c r="C253" s="42"/>
      <c r="D253" s="7"/>
      <c r="E253" s="7"/>
      <c r="F253" s="7"/>
      <c r="J253" s="34" t="str">
        <f>IF(Inventario!A245="","",Inventario!A245)</f>
        <v/>
      </c>
      <c r="K253" s="35" t="str">
        <f>IF(Inventario!B245="","",Inventario!B245)</f>
        <v/>
      </c>
      <c r="W253" s="31"/>
    </row>
    <row r="254" spans="2:23" ht="15.75" thickBot="1" x14ac:dyDescent="0.3">
      <c r="B254" s="42"/>
      <c r="C254" s="42"/>
      <c r="D254" s="7"/>
      <c r="E254" s="7"/>
      <c r="F254" s="7"/>
      <c r="J254" s="34" t="str">
        <f>IF(Inventario!A246="","",Inventario!A246)</f>
        <v/>
      </c>
      <c r="K254" s="35" t="str">
        <f>IF(Inventario!B246="","",Inventario!B246)</f>
        <v/>
      </c>
      <c r="W254" s="31"/>
    </row>
    <row r="255" spans="2:23" ht="15.75" thickBot="1" x14ac:dyDescent="0.3">
      <c r="B255" s="42"/>
      <c r="C255" s="42"/>
      <c r="D255" s="7"/>
      <c r="E255" s="7"/>
      <c r="F255" s="7"/>
      <c r="J255" s="34" t="str">
        <f>IF(Inventario!A247="","",Inventario!A247)</f>
        <v/>
      </c>
      <c r="K255" s="35" t="str">
        <f>IF(Inventario!B247="","",Inventario!B247)</f>
        <v/>
      </c>
      <c r="W255" s="31"/>
    </row>
    <row r="256" spans="2:23" ht="15.75" thickBot="1" x14ac:dyDescent="0.3">
      <c r="B256" s="42"/>
      <c r="C256" s="42"/>
      <c r="D256" s="7"/>
      <c r="E256" s="7"/>
      <c r="F256" s="7"/>
      <c r="J256" s="34" t="str">
        <f>IF(Inventario!A248="","",Inventario!A248)</f>
        <v/>
      </c>
      <c r="K256" s="35" t="str">
        <f>IF(Inventario!B248="","",Inventario!B248)</f>
        <v/>
      </c>
      <c r="W256" s="31"/>
    </row>
    <row r="257" spans="2:23" ht="15.75" thickBot="1" x14ac:dyDescent="0.3">
      <c r="B257" s="42"/>
      <c r="C257" s="42"/>
      <c r="D257" s="7"/>
      <c r="E257" s="7"/>
      <c r="F257" s="7"/>
      <c r="J257" s="34" t="str">
        <f>IF(Inventario!A249="","",Inventario!A249)</f>
        <v/>
      </c>
      <c r="K257" s="35" t="str">
        <f>IF(Inventario!B249="","",Inventario!B249)</f>
        <v/>
      </c>
      <c r="W257" s="31"/>
    </row>
    <row r="258" spans="2:23" ht="15.75" thickBot="1" x14ac:dyDescent="0.3">
      <c r="B258" s="42"/>
      <c r="C258" s="42"/>
      <c r="D258" s="7"/>
      <c r="E258" s="7"/>
      <c r="F258" s="7"/>
      <c r="J258" s="34" t="str">
        <f>IF(Inventario!A250="","",Inventario!A250)</f>
        <v/>
      </c>
      <c r="K258" s="35" t="str">
        <f>IF(Inventario!B250="","",Inventario!B250)</f>
        <v/>
      </c>
      <c r="W258" s="31"/>
    </row>
    <row r="259" spans="2:23" ht="15.75" thickBot="1" x14ac:dyDescent="0.3">
      <c r="B259" s="42"/>
      <c r="C259" s="42"/>
      <c r="D259" s="7"/>
      <c r="E259" s="7"/>
      <c r="F259" s="7"/>
      <c r="J259" s="34" t="str">
        <f>IF(Inventario!A251="","",Inventario!A251)</f>
        <v/>
      </c>
      <c r="K259" s="35" t="str">
        <f>IF(Inventario!B251="","",Inventario!B251)</f>
        <v/>
      </c>
      <c r="W259" s="31"/>
    </row>
    <row r="260" spans="2:23" ht="15.75" thickBot="1" x14ac:dyDescent="0.3">
      <c r="B260" s="42"/>
      <c r="C260" s="42"/>
      <c r="D260" s="7"/>
      <c r="E260" s="7"/>
      <c r="F260" s="7"/>
      <c r="J260" s="34" t="str">
        <f>IF(Inventario!A252="","",Inventario!A252)</f>
        <v/>
      </c>
      <c r="K260" s="35" t="str">
        <f>IF(Inventario!B252="","",Inventario!B252)</f>
        <v/>
      </c>
      <c r="W260" s="31"/>
    </row>
    <row r="261" spans="2:23" ht="15.75" thickBot="1" x14ac:dyDescent="0.3">
      <c r="B261" s="42"/>
      <c r="C261" s="42"/>
      <c r="D261" s="7"/>
      <c r="E261" s="7"/>
      <c r="F261" s="7"/>
      <c r="J261" s="34" t="str">
        <f>IF(Inventario!A253="","",Inventario!A253)</f>
        <v/>
      </c>
      <c r="K261" s="35" t="str">
        <f>IF(Inventario!B253="","",Inventario!B253)</f>
        <v/>
      </c>
      <c r="W261" s="31"/>
    </row>
    <row r="262" spans="2:23" ht="15.75" thickBot="1" x14ac:dyDescent="0.3">
      <c r="B262" s="42"/>
      <c r="C262" s="42"/>
      <c r="D262" s="7"/>
      <c r="E262" s="7"/>
      <c r="F262" s="7"/>
      <c r="J262" s="34" t="str">
        <f>IF(Inventario!A254="","",Inventario!A254)</f>
        <v/>
      </c>
      <c r="K262" s="35" t="str">
        <f>IF(Inventario!B254="","",Inventario!B254)</f>
        <v/>
      </c>
      <c r="W262" s="31"/>
    </row>
    <row r="263" spans="2:23" ht="15.75" thickBot="1" x14ac:dyDescent="0.3">
      <c r="B263" s="42"/>
      <c r="C263" s="42"/>
      <c r="D263" s="7"/>
      <c r="E263" s="7"/>
      <c r="F263" s="7"/>
      <c r="J263" s="34" t="str">
        <f>IF(Inventario!A255="","",Inventario!A255)</f>
        <v/>
      </c>
      <c r="K263" s="35" t="str">
        <f>IF(Inventario!B255="","",Inventario!B255)</f>
        <v/>
      </c>
      <c r="W263" s="31"/>
    </row>
    <row r="264" spans="2:23" ht="15.75" thickBot="1" x14ac:dyDescent="0.3">
      <c r="B264" s="42"/>
      <c r="C264" s="42"/>
      <c r="D264" s="7"/>
      <c r="E264" s="7"/>
      <c r="F264" s="7"/>
      <c r="J264" s="34" t="str">
        <f>IF(Inventario!A256="","",Inventario!A256)</f>
        <v/>
      </c>
      <c r="K264" s="35" t="str">
        <f>IF(Inventario!B256="","",Inventario!B256)</f>
        <v/>
      </c>
      <c r="W264" s="31"/>
    </row>
    <row r="265" spans="2:23" ht="15.75" thickBot="1" x14ac:dyDescent="0.3">
      <c r="B265" s="42"/>
      <c r="C265" s="42"/>
      <c r="D265" s="7"/>
      <c r="E265" s="7"/>
      <c r="F265" s="7"/>
      <c r="J265" s="34" t="str">
        <f>IF(Inventario!A257="","",Inventario!A257)</f>
        <v/>
      </c>
      <c r="K265" s="35" t="str">
        <f>IF(Inventario!B257="","",Inventario!B257)</f>
        <v/>
      </c>
      <c r="W265" s="31"/>
    </row>
    <row r="266" spans="2:23" ht="15.75" thickBot="1" x14ac:dyDescent="0.3">
      <c r="B266" s="42"/>
      <c r="C266" s="42"/>
      <c r="D266" s="7"/>
      <c r="E266" s="7"/>
      <c r="F266" s="7"/>
      <c r="J266" s="34" t="str">
        <f>IF(Inventario!A258="","",Inventario!A258)</f>
        <v/>
      </c>
      <c r="K266" s="35" t="str">
        <f>IF(Inventario!B258="","",Inventario!B258)</f>
        <v/>
      </c>
      <c r="W266" s="31"/>
    </row>
    <row r="267" spans="2:23" ht="15.75" thickBot="1" x14ac:dyDescent="0.3">
      <c r="B267" s="42"/>
      <c r="C267" s="42"/>
      <c r="D267" s="7"/>
      <c r="E267" s="7"/>
      <c r="F267" s="7"/>
      <c r="J267" s="34" t="str">
        <f>IF(Inventario!A259="","",Inventario!A259)</f>
        <v/>
      </c>
      <c r="K267" s="35" t="str">
        <f>IF(Inventario!B259="","",Inventario!B259)</f>
        <v/>
      </c>
      <c r="W267" s="31"/>
    </row>
    <row r="268" spans="2:23" ht="15.75" thickBot="1" x14ac:dyDescent="0.3">
      <c r="B268" s="42"/>
      <c r="C268" s="42"/>
      <c r="D268" s="7"/>
      <c r="E268" s="7"/>
      <c r="F268" s="7"/>
      <c r="J268" s="34" t="str">
        <f>IF(Inventario!A260="","",Inventario!A260)</f>
        <v/>
      </c>
      <c r="K268" s="35" t="str">
        <f>IF(Inventario!B260="","",Inventario!B260)</f>
        <v/>
      </c>
      <c r="W268" s="31"/>
    </row>
    <row r="269" spans="2:23" ht="15.75" thickBot="1" x14ac:dyDescent="0.3">
      <c r="B269" s="42"/>
      <c r="C269" s="42"/>
      <c r="D269" s="7"/>
      <c r="E269" s="7"/>
      <c r="F269" s="7"/>
      <c r="J269" s="34" t="str">
        <f>IF(Inventario!A261="","",Inventario!A261)</f>
        <v/>
      </c>
      <c r="K269" s="35" t="str">
        <f>IF(Inventario!B261="","",Inventario!B261)</f>
        <v/>
      </c>
      <c r="W269" s="31"/>
    </row>
    <row r="270" spans="2:23" ht="15.75" thickBot="1" x14ac:dyDescent="0.3">
      <c r="B270" s="42"/>
      <c r="C270" s="42"/>
      <c r="D270" s="7"/>
      <c r="E270" s="7"/>
      <c r="F270" s="7"/>
      <c r="J270" s="34" t="str">
        <f>IF(Inventario!A262="","",Inventario!A262)</f>
        <v/>
      </c>
      <c r="K270" s="35" t="str">
        <f>IF(Inventario!B262="","",Inventario!B262)</f>
        <v/>
      </c>
      <c r="W270" s="31"/>
    </row>
    <row r="271" spans="2:23" ht="15.75" thickBot="1" x14ac:dyDescent="0.3">
      <c r="B271" s="42"/>
      <c r="C271" s="42"/>
      <c r="D271" s="7"/>
      <c r="E271" s="7"/>
      <c r="F271" s="7"/>
      <c r="J271" s="34" t="str">
        <f>IF(Inventario!A263="","",Inventario!A263)</f>
        <v/>
      </c>
      <c r="K271" s="35" t="str">
        <f>IF(Inventario!B263="","",Inventario!B263)</f>
        <v/>
      </c>
      <c r="W271" s="31"/>
    </row>
    <row r="272" spans="2:23" ht="15.75" thickBot="1" x14ac:dyDescent="0.3">
      <c r="B272" s="42"/>
      <c r="C272" s="42"/>
      <c r="D272" s="7"/>
      <c r="E272" s="7"/>
      <c r="F272" s="7"/>
      <c r="J272" s="34" t="str">
        <f>IF(Inventario!A264="","",Inventario!A264)</f>
        <v/>
      </c>
      <c r="K272" s="35" t="str">
        <f>IF(Inventario!B264="","",Inventario!B264)</f>
        <v/>
      </c>
      <c r="W272" s="31"/>
    </row>
    <row r="273" spans="2:23" ht="15.75" thickBot="1" x14ac:dyDescent="0.3">
      <c r="B273" s="42"/>
      <c r="C273" s="42"/>
      <c r="D273" s="7"/>
      <c r="E273" s="7"/>
      <c r="F273" s="7"/>
      <c r="J273" s="34" t="str">
        <f>IF(Inventario!A265="","",Inventario!A265)</f>
        <v/>
      </c>
      <c r="K273" s="35" t="str">
        <f>IF(Inventario!B265="","",Inventario!B265)</f>
        <v/>
      </c>
      <c r="W273" s="31"/>
    </row>
    <row r="274" spans="2:23" ht="15.75" thickBot="1" x14ac:dyDescent="0.3">
      <c r="B274" s="42"/>
      <c r="C274" s="42"/>
      <c r="D274" s="7"/>
      <c r="E274" s="7"/>
      <c r="F274" s="7"/>
      <c r="J274" s="34" t="str">
        <f>IF(Inventario!A266="","",Inventario!A266)</f>
        <v/>
      </c>
      <c r="K274" s="35" t="str">
        <f>IF(Inventario!B266="","",Inventario!B266)</f>
        <v/>
      </c>
      <c r="W274" s="31"/>
    </row>
    <row r="275" spans="2:23" ht="15.75" thickBot="1" x14ac:dyDescent="0.3">
      <c r="B275" s="42"/>
      <c r="C275" s="42"/>
      <c r="D275" s="7"/>
      <c r="E275" s="7"/>
      <c r="F275" s="7"/>
      <c r="J275" s="34" t="str">
        <f>IF(Inventario!A267="","",Inventario!A267)</f>
        <v/>
      </c>
      <c r="K275" s="35" t="str">
        <f>IF(Inventario!B267="","",Inventario!B267)</f>
        <v/>
      </c>
      <c r="W275" s="31"/>
    </row>
    <row r="276" spans="2:23" ht="15.75" thickBot="1" x14ac:dyDescent="0.3">
      <c r="B276" s="42"/>
      <c r="C276" s="42"/>
      <c r="D276" s="7"/>
      <c r="E276" s="7"/>
      <c r="F276" s="7"/>
      <c r="J276" s="34" t="str">
        <f>IF(Inventario!A268="","",Inventario!A268)</f>
        <v/>
      </c>
      <c r="K276" s="35" t="str">
        <f>IF(Inventario!B268="","",Inventario!B268)</f>
        <v/>
      </c>
      <c r="W276" s="31"/>
    </row>
    <row r="277" spans="2:23" ht="15.75" thickBot="1" x14ac:dyDescent="0.3">
      <c r="B277" s="42"/>
      <c r="C277" s="42"/>
      <c r="D277" s="7"/>
      <c r="E277" s="7"/>
      <c r="F277" s="7"/>
      <c r="J277" s="34" t="str">
        <f>IF(Inventario!A269="","",Inventario!A269)</f>
        <v/>
      </c>
      <c r="K277" s="35" t="str">
        <f>IF(Inventario!B269="","",Inventario!B269)</f>
        <v/>
      </c>
      <c r="W277" s="31"/>
    </row>
    <row r="278" spans="2:23" ht="15.75" thickBot="1" x14ac:dyDescent="0.3">
      <c r="B278" s="42"/>
      <c r="C278" s="42"/>
      <c r="D278" s="7"/>
      <c r="E278" s="7"/>
      <c r="F278" s="7"/>
      <c r="J278" s="34" t="str">
        <f>IF(Inventario!A270="","",Inventario!A270)</f>
        <v/>
      </c>
      <c r="K278" s="35" t="str">
        <f>IF(Inventario!B270="","",Inventario!B270)</f>
        <v/>
      </c>
      <c r="W278" s="31"/>
    </row>
    <row r="279" spans="2:23" ht="15.75" thickBot="1" x14ac:dyDescent="0.3">
      <c r="B279" s="42"/>
      <c r="C279" s="42"/>
      <c r="D279" s="7"/>
      <c r="E279" s="7"/>
      <c r="F279" s="7"/>
      <c r="J279" s="34" t="str">
        <f>IF(Inventario!A271="","",Inventario!A271)</f>
        <v/>
      </c>
      <c r="K279" s="35" t="str">
        <f>IF(Inventario!B271="","",Inventario!B271)</f>
        <v/>
      </c>
      <c r="W279" s="31"/>
    </row>
    <row r="280" spans="2:23" ht="15.75" thickBot="1" x14ac:dyDescent="0.3">
      <c r="B280" s="42"/>
      <c r="C280" s="42"/>
      <c r="D280" s="7"/>
      <c r="E280" s="7"/>
      <c r="F280" s="7"/>
      <c r="J280" s="34" t="str">
        <f>IF(Inventario!A272="","",Inventario!A272)</f>
        <v/>
      </c>
      <c r="K280" s="35" t="str">
        <f>IF(Inventario!B272="","",Inventario!B272)</f>
        <v/>
      </c>
      <c r="W280" s="31"/>
    </row>
    <row r="281" spans="2:23" ht="15.75" thickBot="1" x14ac:dyDescent="0.3">
      <c r="B281" s="42"/>
      <c r="C281" s="42"/>
      <c r="D281" s="7"/>
      <c r="E281" s="7"/>
      <c r="F281" s="7"/>
      <c r="J281" s="34" t="str">
        <f>IF(Inventario!A273="","",Inventario!A273)</f>
        <v/>
      </c>
      <c r="K281" s="35" t="str">
        <f>IF(Inventario!B273="","",Inventario!B273)</f>
        <v/>
      </c>
      <c r="W281" s="31"/>
    </row>
    <row r="282" spans="2:23" ht="15.75" thickBot="1" x14ac:dyDescent="0.3">
      <c r="B282" s="42"/>
      <c r="C282" s="42"/>
      <c r="D282" s="7"/>
      <c r="E282" s="7"/>
      <c r="F282" s="7"/>
      <c r="J282" s="34" t="str">
        <f>IF(Inventario!A274="","",Inventario!A274)</f>
        <v/>
      </c>
      <c r="K282" s="35" t="str">
        <f>IF(Inventario!B274="","",Inventario!B274)</f>
        <v/>
      </c>
      <c r="W282" s="31"/>
    </row>
    <row r="283" spans="2:23" ht="15.75" thickBot="1" x14ac:dyDescent="0.3">
      <c r="B283" s="42"/>
      <c r="C283" s="42"/>
      <c r="D283" s="7"/>
      <c r="E283" s="7"/>
      <c r="F283" s="7"/>
      <c r="J283" s="34" t="str">
        <f>IF(Inventario!A275="","",Inventario!A275)</f>
        <v/>
      </c>
      <c r="K283" s="35" t="str">
        <f>IF(Inventario!B275="","",Inventario!B275)</f>
        <v/>
      </c>
      <c r="W283" s="31"/>
    </row>
    <row r="284" spans="2:23" ht="15.75" thickBot="1" x14ac:dyDescent="0.3">
      <c r="B284" s="42"/>
      <c r="C284" s="42"/>
      <c r="D284" s="7"/>
      <c r="E284" s="7"/>
      <c r="F284" s="7"/>
      <c r="J284" s="34" t="str">
        <f>IF(Inventario!A276="","",Inventario!A276)</f>
        <v/>
      </c>
      <c r="K284" s="35" t="str">
        <f>IF(Inventario!B276="","",Inventario!B276)</f>
        <v/>
      </c>
      <c r="W284" s="31"/>
    </row>
    <row r="285" spans="2:23" ht="15.75" thickBot="1" x14ac:dyDescent="0.3">
      <c r="B285" s="42"/>
      <c r="C285" s="42"/>
      <c r="D285" s="7"/>
      <c r="E285" s="7"/>
      <c r="F285" s="7"/>
      <c r="J285" s="34" t="str">
        <f>IF(Inventario!A277="","",Inventario!A277)</f>
        <v/>
      </c>
      <c r="K285" s="35" t="str">
        <f>IF(Inventario!B277="","",Inventario!B277)</f>
        <v/>
      </c>
      <c r="W285" s="31"/>
    </row>
    <row r="286" spans="2:23" ht="15.75" thickBot="1" x14ac:dyDescent="0.3">
      <c r="B286" s="42"/>
      <c r="C286" s="42"/>
      <c r="D286" s="7"/>
      <c r="E286" s="7"/>
      <c r="F286" s="7"/>
      <c r="J286" s="34" t="str">
        <f>IF(Inventario!A278="","",Inventario!A278)</f>
        <v/>
      </c>
      <c r="K286" s="35" t="str">
        <f>IF(Inventario!B278="","",Inventario!B278)</f>
        <v/>
      </c>
      <c r="W286" s="31"/>
    </row>
    <row r="287" spans="2:23" ht="15.75" thickBot="1" x14ac:dyDescent="0.3">
      <c r="B287" s="42"/>
      <c r="C287" s="42"/>
      <c r="D287" s="7"/>
      <c r="E287" s="7"/>
      <c r="F287" s="7"/>
      <c r="J287" s="34" t="str">
        <f>IF(Inventario!A279="","",Inventario!A279)</f>
        <v/>
      </c>
      <c r="K287" s="35" t="str">
        <f>IF(Inventario!B279="","",Inventario!B279)</f>
        <v/>
      </c>
      <c r="W287" s="31"/>
    </row>
    <row r="288" spans="2:23" ht="15.75" thickBot="1" x14ac:dyDescent="0.3">
      <c r="B288" s="42"/>
      <c r="C288" s="42"/>
      <c r="D288" s="7"/>
      <c r="E288" s="7"/>
      <c r="F288" s="7"/>
      <c r="J288" s="34" t="str">
        <f>IF(Inventario!A280="","",Inventario!A280)</f>
        <v/>
      </c>
      <c r="K288" s="35" t="str">
        <f>IF(Inventario!B280="","",Inventario!B280)</f>
        <v/>
      </c>
      <c r="W288" s="31"/>
    </row>
    <row r="289" spans="2:23" ht="15.75" thickBot="1" x14ac:dyDescent="0.3">
      <c r="B289" s="42"/>
      <c r="C289" s="42"/>
      <c r="D289" s="7"/>
      <c r="E289" s="7"/>
      <c r="F289" s="7"/>
      <c r="J289" s="34" t="str">
        <f>IF(Inventario!A281="","",Inventario!A281)</f>
        <v/>
      </c>
      <c r="K289" s="35" t="str">
        <f>IF(Inventario!B281="","",Inventario!B281)</f>
        <v/>
      </c>
      <c r="W289" s="31"/>
    </row>
    <row r="290" spans="2:23" ht="15.75" thickBot="1" x14ac:dyDescent="0.3">
      <c r="B290" s="42"/>
      <c r="C290" s="42"/>
      <c r="D290" s="7"/>
      <c r="E290" s="7"/>
      <c r="F290" s="7"/>
      <c r="J290" s="34" t="str">
        <f>IF(Inventario!A282="","",Inventario!A282)</f>
        <v/>
      </c>
      <c r="K290" s="35" t="str">
        <f>IF(Inventario!B282="","",Inventario!B282)</f>
        <v/>
      </c>
      <c r="W290" s="31"/>
    </row>
    <row r="291" spans="2:23" ht="15.75" thickBot="1" x14ac:dyDescent="0.3">
      <c r="B291" s="42"/>
      <c r="C291" s="42"/>
      <c r="D291" s="7"/>
      <c r="E291" s="7"/>
      <c r="F291" s="7"/>
      <c r="J291" s="34" t="str">
        <f>IF(Inventario!A283="","",Inventario!A283)</f>
        <v/>
      </c>
      <c r="K291" s="35" t="str">
        <f>IF(Inventario!B283="","",Inventario!B283)</f>
        <v/>
      </c>
      <c r="W291" s="31"/>
    </row>
    <row r="292" spans="2:23" ht="15.75" thickBot="1" x14ac:dyDescent="0.3">
      <c r="B292" s="42"/>
      <c r="C292" s="42"/>
      <c r="D292" s="7"/>
      <c r="E292" s="7"/>
      <c r="F292" s="7"/>
      <c r="J292" s="34" t="str">
        <f>IF(Inventario!A284="","",Inventario!A284)</f>
        <v/>
      </c>
      <c r="K292" s="35" t="str">
        <f>IF(Inventario!B284="","",Inventario!B284)</f>
        <v/>
      </c>
      <c r="W292" s="31"/>
    </row>
    <row r="293" spans="2:23" ht="15.75" thickBot="1" x14ac:dyDescent="0.3">
      <c r="B293" s="42"/>
      <c r="C293" s="42"/>
      <c r="D293" s="7"/>
      <c r="E293" s="7"/>
      <c r="F293" s="7"/>
      <c r="J293" s="34" t="str">
        <f>IF(Inventario!A285="","",Inventario!A285)</f>
        <v/>
      </c>
      <c r="K293" s="35" t="str">
        <f>IF(Inventario!B285="","",Inventario!B285)</f>
        <v/>
      </c>
      <c r="W293" s="31"/>
    </row>
    <row r="294" spans="2:23" ht="15.75" thickBot="1" x14ac:dyDescent="0.3">
      <c r="B294" s="42"/>
      <c r="C294" s="42"/>
      <c r="D294" s="7"/>
      <c r="E294" s="7"/>
      <c r="F294" s="7"/>
      <c r="J294" s="34" t="str">
        <f>IF(Inventario!A286="","",Inventario!A286)</f>
        <v/>
      </c>
      <c r="K294" s="35" t="str">
        <f>IF(Inventario!B286="","",Inventario!B286)</f>
        <v/>
      </c>
      <c r="W294" s="31"/>
    </row>
    <row r="295" spans="2:23" ht="15.75" thickBot="1" x14ac:dyDescent="0.3">
      <c r="B295" s="42"/>
      <c r="C295" s="42"/>
      <c r="D295" s="7"/>
      <c r="E295" s="7"/>
      <c r="F295" s="7"/>
      <c r="J295" s="34" t="str">
        <f>IF(Inventario!A287="","",Inventario!A287)</f>
        <v/>
      </c>
      <c r="K295" s="35" t="str">
        <f>IF(Inventario!B287="","",Inventario!B287)</f>
        <v/>
      </c>
      <c r="W295" s="31"/>
    </row>
    <row r="296" spans="2:23" ht="15.75" thickBot="1" x14ac:dyDescent="0.3">
      <c r="B296" s="42"/>
      <c r="C296" s="42"/>
      <c r="D296" s="7"/>
      <c r="E296" s="7"/>
      <c r="F296" s="7"/>
      <c r="J296" s="34" t="str">
        <f>IF(Inventario!A288="","",Inventario!A288)</f>
        <v/>
      </c>
      <c r="K296" s="35" t="str">
        <f>IF(Inventario!B288="","",Inventario!B288)</f>
        <v/>
      </c>
      <c r="W296" s="31"/>
    </row>
    <row r="297" spans="2:23" ht="15.75" thickBot="1" x14ac:dyDescent="0.3">
      <c r="B297" s="42"/>
      <c r="C297" s="42"/>
      <c r="D297" s="7"/>
      <c r="E297" s="7"/>
      <c r="F297" s="7"/>
      <c r="J297" s="34" t="str">
        <f>IF(Inventario!A289="","",Inventario!A289)</f>
        <v/>
      </c>
      <c r="K297" s="35" t="str">
        <f>IF(Inventario!B289="","",Inventario!B289)</f>
        <v/>
      </c>
      <c r="W297" s="31"/>
    </row>
    <row r="298" spans="2:23" ht="15.75" thickBot="1" x14ac:dyDescent="0.3">
      <c r="B298" s="42"/>
      <c r="C298" s="42"/>
      <c r="D298" s="7"/>
      <c r="E298" s="7"/>
      <c r="F298" s="7"/>
      <c r="J298" s="34" t="str">
        <f>IF(Inventario!A290="","",Inventario!A290)</f>
        <v/>
      </c>
      <c r="K298" s="35" t="str">
        <f>IF(Inventario!B290="","",Inventario!B290)</f>
        <v/>
      </c>
      <c r="W298" s="31"/>
    </row>
    <row r="299" spans="2:23" ht="15.75" thickBot="1" x14ac:dyDescent="0.3">
      <c r="B299" s="42"/>
      <c r="C299" s="42"/>
      <c r="D299" s="7"/>
      <c r="E299" s="7"/>
      <c r="F299" s="7"/>
      <c r="J299" s="34" t="str">
        <f>IF(Inventario!A291="","",Inventario!A291)</f>
        <v/>
      </c>
      <c r="K299" s="35" t="str">
        <f>IF(Inventario!B291="","",Inventario!B291)</f>
        <v/>
      </c>
      <c r="W299" s="31"/>
    </row>
    <row r="300" spans="2:23" ht="15.75" thickBot="1" x14ac:dyDescent="0.3">
      <c r="B300" s="42"/>
      <c r="C300" s="42"/>
      <c r="D300" s="7"/>
      <c r="E300" s="7"/>
      <c r="F300" s="7"/>
      <c r="J300" s="34" t="str">
        <f>IF(Inventario!A292="","",Inventario!A292)</f>
        <v/>
      </c>
      <c r="K300" s="35" t="str">
        <f>IF(Inventario!B292="","",Inventario!B292)</f>
        <v/>
      </c>
      <c r="W300" s="31"/>
    </row>
    <row r="301" spans="2:23" ht="15.75" thickBot="1" x14ac:dyDescent="0.3">
      <c r="B301" s="42"/>
      <c r="C301" s="42"/>
      <c r="D301" s="7"/>
      <c r="E301" s="7"/>
      <c r="F301" s="7"/>
      <c r="J301" s="34" t="str">
        <f>IF(Inventario!A293="","",Inventario!A293)</f>
        <v/>
      </c>
      <c r="K301" s="35" t="str">
        <f>IF(Inventario!B293="","",Inventario!B293)</f>
        <v/>
      </c>
      <c r="W301" s="31"/>
    </row>
    <row r="302" spans="2:23" ht="15.75" thickBot="1" x14ac:dyDescent="0.3">
      <c r="B302" s="42"/>
      <c r="C302" s="42"/>
      <c r="D302" s="7"/>
      <c r="E302" s="7"/>
      <c r="F302" s="7"/>
      <c r="J302" s="34" t="str">
        <f>IF(Inventario!A294="","",Inventario!A294)</f>
        <v/>
      </c>
      <c r="K302" s="35" t="str">
        <f>IF(Inventario!B294="","",Inventario!B294)</f>
        <v/>
      </c>
      <c r="W302" s="31"/>
    </row>
    <row r="303" spans="2:23" ht="15.75" thickBot="1" x14ac:dyDescent="0.3">
      <c r="B303" s="42"/>
      <c r="C303" s="42"/>
      <c r="D303" s="7"/>
      <c r="E303" s="7"/>
      <c r="F303" s="7"/>
      <c r="J303" s="34" t="str">
        <f>IF(Inventario!A295="","",Inventario!A295)</f>
        <v/>
      </c>
      <c r="K303" s="35" t="str">
        <f>IF(Inventario!B295="","",Inventario!B295)</f>
        <v/>
      </c>
      <c r="W303" s="31"/>
    </row>
    <row r="304" spans="2:23" ht="15.75" thickBot="1" x14ac:dyDescent="0.3">
      <c r="B304" s="42"/>
      <c r="C304" s="42"/>
      <c r="D304" s="7"/>
      <c r="E304" s="7"/>
      <c r="F304" s="7"/>
      <c r="J304" s="34" t="str">
        <f>IF(Inventario!A296="","",Inventario!A296)</f>
        <v/>
      </c>
      <c r="K304" s="35" t="str">
        <f>IF(Inventario!B296="","",Inventario!B296)</f>
        <v/>
      </c>
      <c r="W304" s="31"/>
    </row>
    <row r="305" spans="2:23" ht="15.75" thickBot="1" x14ac:dyDescent="0.3">
      <c r="B305" s="42"/>
      <c r="C305" s="42"/>
      <c r="D305" s="7"/>
      <c r="E305" s="7"/>
      <c r="F305" s="7"/>
      <c r="J305" s="34" t="str">
        <f>IF(Inventario!A297="","",Inventario!A297)</f>
        <v/>
      </c>
      <c r="K305" s="35" t="str">
        <f>IF(Inventario!B297="","",Inventario!B297)</f>
        <v/>
      </c>
      <c r="W305" s="31"/>
    </row>
    <row r="306" spans="2:23" ht="15.75" thickBot="1" x14ac:dyDescent="0.3">
      <c r="B306" s="42"/>
      <c r="C306" s="42"/>
      <c r="D306" s="7"/>
      <c r="E306" s="7"/>
      <c r="F306" s="7"/>
      <c r="J306" s="34" t="str">
        <f>IF(Inventario!A298="","",Inventario!A298)</f>
        <v/>
      </c>
      <c r="K306" s="35" t="str">
        <f>IF(Inventario!B298="","",Inventario!B298)</f>
        <v/>
      </c>
      <c r="W306" s="31"/>
    </row>
    <row r="307" spans="2:23" ht="15.75" thickBot="1" x14ac:dyDescent="0.3">
      <c r="B307" s="42"/>
      <c r="C307" s="42"/>
      <c r="D307" s="7"/>
      <c r="E307" s="7"/>
      <c r="F307" s="7"/>
      <c r="J307" s="34" t="str">
        <f>IF(Inventario!A299="","",Inventario!A299)</f>
        <v/>
      </c>
      <c r="K307" s="35" t="str">
        <f>IF(Inventario!B299="","",Inventario!B299)</f>
        <v/>
      </c>
      <c r="W307" s="31"/>
    </row>
    <row r="308" spans="2:23" ht="15.75" thickBot="1" x14ac:dyDescent="0.3">
      <c r="B308" s="42"/>
      <c r="C308" s="42"/>
      <c r="D308" s="7"/>
      <c r="E308" s="7"/>
      <c r="F308" s="7"/>
      <c r="J308" s="34" t="str">
        <f>IF(Inventario!A300="","",Inventario!A300)</f>
        <v/>
      </c>
      <c r="K308" s="35" t="str">
        <f>IF(Inventario!B300="","",Inventario!B300)</f>
        <v/>
      </c>
      <c r="W308" s="31"/>
    </row>
    <row r="309" spans="2:23" ht="15.75" thickBot="1" x14ac:dyDescent="0.3">
      <c r="B309" s="42"/>
      <c r="C309" s="42"/>
      <c r="D309" s="7"/>
      <c r="E309" s="7"/>
      <c r="F309" s="7"/>
      <c r="J309" s="34" t="str">
        <f>IF(Inventario!A301="","",Inventario!A301)</f>
        <v/>
      </c>
      <c r="K309" s="35" t="str">
        <f>IF(Inventario!B301="","",Inventario!B301)</f>
        <v/>
      </c>
      <c r="W309" s="31"/>
    </row>
    <row r="310" spans="2:23" ht="15.75" thickBot="1" x14ac:dyDescent="0.3">
      <c r="B310" s="42"/>
      <c r="C310" s="42"/>
      <c r="D310" s="7"/>
      <c r="E310" s="7"/>
      <c r="F310" s="7"/>
      <c r="J310" s="34" t="str">
        <f>IF(Inventario!A302="","",Inventario!A302)</f>
        <v/>
      </c>
      <c r="K310" s="35" t="str">
        <f>IF(Inventario!B302="","",Inventario!B302)</f>
        <v/>
      </c>
      <c r="W310" s="31"/>
    </row>
    <row r="311" spans="2:23" ht="15.75" thickBot="1" x14ac:dyDescent="0.3">
      <c r="B311" s="42"/>
      <c r="C311" s="42"/>
      <c r="D311" s="7"/>
      <c r="E311" s="7"/>
      <c r="F311" s="7"/>
      <c r="J311" s="34" t="str">
        <f>IF(Inventario!A303="","",Inventario!A303)</f>
        <v/>
      </c>
      <c r="K311" s="35" t="str">
        <f>IF(Inventario!B303="","",Inventario!B303)</f>
        <v/>
      </c>
      <c r="W311" s="31"/>
    </row>
    <row r="312" spans="2:23" ht="15.75" thickBot="1" x14ac:dyDescent="0.3">
      <c r="B312" s="42"/>
      <c r="C312" s="42"/>
      <c r="D312" s="7"/>
      <c r="E312" s="7"/>
      <c r="F312" s="7"/>
      <c r="J312" s="34" t="str">
        <f>IF(Inventario!A304="","",Inventario!A304)</f>
        <v/>
      </c>
      <c r="K312" s="35" t="str">
        <f>IF(Inventario!B304="","",Inventario!B304)</f>
        <v/>
      </c>
      <c r="W312" s="31"/>
    </row>
    <row r="313" spans="2:23" ht="15.75" thickBot="1" x14ac:dyDescent="0.3">
      <c r="B313" s="42"/>
      <c r="C313" s="42"/>
      <c r="D313" s="7"/>
      <c r="E313" s="7"/>
      <c r="F313" s="7"/>
      <c r="J313" s="34" t="str">
        <f>IF(Inventario!A305="","",Inventario!A305)</f>
        <v/>
      </c>
      <c r="K313" s="35" t="str">
        <f>IF(Inventario!B305="","",Inventario!B305)</f>
        <v/>
      </c>
      <c r="W313" s="31"/>
    </row>
    <row r="314" spans="2:23" ht="15.75" thickBot="1" x14ac:dyDescent="0.3">
      <c r="B314" s="42"/>
      <c r="C314" s="42"/>
      <c r="D314" s="7"/>
      <c r="E314" s="7"/>
      <c r="F314" s="7"/>
      <c r="J314" s="34" t="str">
        <f>IF(Inventario!A306="","",Inventario!A306)</f>
        <v/>
      </c>
      <c r="K314" s="35" t="str">
        <f>IF(Inventario!B306="","",Inventario!B306)</f>
        <v/>
      </c>
      <c r="W314" s="31"/>
    </row>
    <row r="315" spans="2:23" ht="15.75" thickBot="1" x14ac:dyDescent="0.3">
      <c r="B315" s="42"/>
      <c r="C315" s="42"/>
      <c r="D315" s="7"/>
      <c r="E315" s="7"/>
      <c r="F315" s="7"/>
      <c r="J315" s="34" t="str">
        <f>IF(Inventario!A307="","",Inventario!A307)</f>
        <v/>
      </c>
      <c r="K315" s="35" t="str">
        <f>IF(Inventario!B307="","",Inventario!B307)</f>
        <v/>
      </c>
      <c r="W315" s="31"/>
    </row>
    <row r="316" spans="2:23" ht="15.75" thickBot="1" x14ac:dyDescent="0.3">
      <c r="B316" s="42"/>
      <c r="C316" s="42"/>
      <c r="D316" s="7"/>
      <c r="E316" s="7"/>
      <c r="F316" s="7"/>
      <c r="J316" s="34" t="str">
        <f>IF(Inventario!A308="","",Inventario!A308)</f>
        <v/>
      </c>
      <c r="K316" s="35" t="str">
        <f>IF(Inventario!B308="","",Inventario!B308)</f>
        <v/>
      </c>
      <c r="W316" s="31"/>
    </row>
    <row r="317" spans="2:23" ht="15.75" thickBot="1" x14ac:dyDescent="0.3">
      <c r="B317" s="42"/>
      <c r="C317" s="42"/>
      <c r="D317" s="7"/>
      <c r="E317" s="7"/>
      <c r="F317" s="7"/>
      <c r="J317" s="34" t="str">
        <f>IF(Inventario!A309="","",Inventario!A309)</f>
        <v/>
      </c>
      <c r="K317" s="35" t="str">
        <f>IF(Inventario!B309="","",Inventario!B309)</f>
        <v/>
      </c>
      <c r="W317" s="31"/>
    </row>
    <row r="318" spans="2:23" ht="15.75" thickBot="1" x14ac:dyDescent="0.3">
      <c r="B318" s="42"/>
      <c r="C318" s="42"/>
      <c r="D318" s="7"/>
      <c r="E318" s="7"/>
      <c r="F318" s="7"/>
      <c r="J318" s="34" t="str">
        <f>IF(Inventario!A310="","",Inventario!A310)</f>
        <v/>
      </c>
      <c r="K318" s="35" t="str">
        <f>IF(Inventario!B310="","",Inventario!B310)</f>
        <v/>
      </c>
      <c r="W318" s="31"/>
    </row>
    <row r="319" spans="2:23" ht="15.75" thickBot="1" x14ac:dyDescent="0.3">
      <c r="B319" s="42"/>
      <c r="C319" s="42"/>
      <c r="D319" s="7"/>
      <c r="E319" s="7"/>
      <c r="F319" s="7"/>
      <c r="J319" s="34" t="str">
        <f>IF(Inventario!A311="","",Inventario!A311)</f>
        <v/>
      </c>
      <c r="K319" s="35" t="str">
        <f>IF(Inventario!B311="","",Inventario!B311)</f>
        <v/>
      </c>
      <c r="W319" s="31"/>
    </row>
    <row r="320" spans="2:23" ht="15.75" thickBot="1" x14ac:dyDescent="0.3">
      <c r="B320" s="42"/>
      <c r="C320" s="42"/>
      <c r="D320" s="7"/>
      <c r="E320" s="7"/>
      <c r="F320" s="7"/>
      <c r="J320" s="34" t="str">
        <f>IF(Inventario!A312="","",Inventario!A312)</f>
        <v/>
      </c>
      <c r="K320" s="35" t="str">
        <f>IF(Inventario!B312="","",Inventario!B312)</f>
        <v/>
      </c>
      <c r="W320" s="31"/>
    </row>
    <row r="321" spans="2:23" ht="15.75" thickBot="1" x14ac:dyDescent="0.3">
      <c r="B321" s="42"/>
      <c r="C321" s="42"/>
      <c r="D321" s="7"/>
      <c r="E321" s="7"/>
      <c r="F321" s="7"/>
      <c r="J321" s="34" t="str">
        <f>IF(Inventario!A313="","",Inventario!A313)</f>
        <v/>
      </c>
      <c r="K321" s="35" t="str">
        <f>IF(Inventario!B313="","",Inventario!B313)</f>
        <v/>
      </c>
      <c r="W321" s="31"/>
    </row>
    <row r="322" spans="2:23" ht="15.75" thickBot="1" x14ac:dyDescent="0.3">
      <c r="B322" s="42"/>
      <c r="C322" s="42"/>
      <c r="D322" s="7"/>
      <c r="E322" s="7"/>
      <c r="F322" s="7"/>
      <c r="J322" s="34" t="str">
        <f>IF(Inventario!A314="","",Inventario!A314)</f>
        <v/>
      </c>
      <c r="K322" s="35" t="str">
        <f>IF(Inventario!B314="","",Inventario!B314)</f>
        <v/>
      </c>
      <c r="W322" s="31"/>
    </row>
    <row r="323" spans="2:23" ht="15.75" thickBot="1" x14ac:dyDescent="0.3">
      <c r="B323" s="42"/>
      <c r="C323" s="42"/>
      <c r="D323" s="7"/>
      <c r="E323" s="7"/>
      <c r="F323" s="7"/>
      <c r="J323" s="34" t="str">
        <f>IF(Inventario!A315="","",Inventario!A315)</f>
        <v/>
      </c>
      <c r="K323" s="35" t="str">
        <f>IF(Inventario!B315="","",Inventario!B315)</f>
        <v/>
      </c>
      <c r="W323" s="31"/>
    </row>
    <row r="324" spans="2:23" ht="15.75" thickBot="1" x14ac:dyDescent="0.3">
      <c r="B324" s="42"/>
      <c r="C324" s="42"/>
      <c r="D324" s="7"/>
      <c r="E324" s="7"/>
      <c r="F324" s="7"/>
      <c r="J324" s="34" t="str">
        <f>IF(Inventario!A316="","",Inventario!A316)</f>
        <v/>
      </c>
      <c r="K324" s="35" t="str">
        <f>IF(Inventario!B316="","",Inventario!B316)</f>
        <v/>
      </c>
      <c r="W324" s="31"/>
    </row>
    <row r="325" spans="2:23" ht="15.75" thickBot="1" x14ac:dyDescent="0.3">
      <c r="B325" s="42"/>
      <c r="C325" s="42"/>
      <c r="D325" s="7"/>
      <c r="E325" s="7"/>
      <c r="F325" s="7"/>
      <c r="J325" s="34" t="str">
        <f>IF(Inventario!A317="","",Inventario!A317)</f>
        <v/>
      </c>
      <c r="K325" s="35" t="str">
        <f>IF(Inventario!B317="","",Inventario!B317)</f>
        <v/>
      </c>
      <c r="W325" s="31"/>
    </row>
    <row r="326" spans="2:23" ht="15.75" thickBot="1" x14ac:dyDescent="0.3">
      <c r="B326" s="42"/>
      <c r="C326" s="42"/>
      <c r="D326" s="7"/>
      <c r="E326" s="7"/>
      <c r="F326" s="7"/>
      <c r="J326" s="34" t="str">
        <f>IF(Inventario!A318="","",Inventario!A318)</f>
        <v/>
      </c>
      <c r="K326" s="35" t="str">
        <f>IF(Inventario!B318="","",Inventario!B318)</f>
        <v/>
      </c>
      <c r="W326" s="31"/>
    </row>
    <row r="327" spans="2:23" ht="15.75" thickBot="1" x14ac:dyDescent="0.3">
      <c r="B327" s="42"/>
      <c r="C327" s="42"/>
      <c r="D327" s="7"/>
      <c r="E327" s="7"/>
      <c r="F327" s="7"/>
      <c r="J327" s="34" t="str">
        <f>IF(Inventario!A319="","",Inventario!A319)</f>
        <v/>
      </c>
      <c r="K327" s="35" t="str">
        <f>IF(Inventario!B319="","",Inventario!B319)</f>
        <v/>
      </c>
      <c r="W327" s="31"/>
    </row>
    <row r="328" spans="2:23" ht="15.75" thickBot="1" x14ac:dyDescent="0.3">
      <c r="B328" s="42"/>
      <c r="C328" s="42"/>
      <c r="D328" s="7"/>
      <c r="E328" s="7"/>
      <c r="F328" s="7"/>
      <c r="J328" s="34" t="str">
        <f>IF(Inventario!A320="","",Inventario!A320)</f>
        <v/>
      </c>
      <c r="K328" s="35" t="str">
        <f>IF(Inventario!B320="","",Inventario!B320)</f>
        <v/>
      </c>
      <c r="W328" s="31"/>
    </row>
    <row r="329" spans="2:23" ht="15.75" thickBot="1" x14ac:dyDescent="0.3">
      <c r="B329" s="42"/>
      <c r="C329" s="42"/>
      <c r="D329" s="7"/>
      <c r="E329" s="7"/>
      <c r="F329" s="7"/>
      <c r="J329" s="34" t="str">
        <f>IF(Inventario!A321="","",Inventario!A321)</f>
        <v/>
      </c>
      <c r="K329" s="35" t="str">
        <f>IF(Inventario!B321="","",Inventario!B321)</f>
        <v/>
      </c>
      <c r="W329" s="31"/>
    </row>
    <row r="330" spans="2:23" ht="15.75" thickBot="1" x14ac:dyDescent="0.3">
      <c r="B330" s="42"/>
      <c r="C330" s="42"/>
      <c r="D330" s="7"/>
      <c r="E330" s="7"/>
      <c r="F330" s="7"/>
      <c r="J330" s="34" t="str">
        <f>IF(Inventario!A322="","",Inventario!A322)</f>
        <v/>
      </c>
      <c r="K330" s="35" t="str">
        <f>IF(Inventario!B322="","",Inventario!B322)</f>
        <v/>
      </c>
      <c r="W330" s="31"/>
    </row>
    <row r="331" spans="2:23" ht="15.75" thickBot="1" x14ac:dyDescent="0.3">
      <c r="B331" s="42"/>
      <c r="C331" s="42"/>
      <c r="D331" s="7"/>
      <c r="E331" s="7"/>
      <c r="F331" s="7"/>
      <c r="J331" s="34" t="str">
        <f>IF(Inventario!A323="","",Inventario!A323)</f>
        <v/>
      </c>
      <c r="K331" s="35" t="str">
        <f>IF(Inventario!B323="","",Inventario!B323)</f>
        <v/>
      </c>
      <c r="W331" s="31"/>
    </row>
    <row r="332" spans="2:23" ht="15.75" thickBot="1" x14ac:dyDescent="0.3">
      <c r="B332" s="42"/>
      <c r="C332" s="42"/>
      <c r="D332" s="7"/>
      <c r="E332" s="7"/>
      <c r="F332" s="7"/>
      <c r="J332" s="34" t="str">
        <f>IF(Inventario!A324="","",Inventario!A324)</f>
        <v/>
      </c>
      <c r="K332" s="35" t="str">
        <f>IF(Inventario!B324="","",Inventario!B324)</f>
        <v/>
      </c>
      <c r="W332" s="31"/>
    </row>
    <row r="333" spans="2:23" ht="15.75" thickBot="1" x14ac:dyDescent="0.3">
      <c r="B333" s="42"/>
      <c r="C333" s="42"/>
      <c r="D333" s="7"/>
      <c r="E333" s="7"/>
      <c r="F333" s="7"/>
      <c r="J333" s="34" t="str">
        <f>IF(Inventario!A325="","",Inventario!A325)</f>
        <v/>
      </c>
      <c r="K333" s="35" t="str">
        <f>IF(Inventario!B325="","",Inventario!B325)</f>
        <v/>
      </c>
      <c r="W333" s="31"/>
    </row>
    <row r="334" spans="2:23" ht="15.75" thickBot="1" x14ac:dyDescent="0.3">
      <c r="B334" s="42"/>
      <c r="C334" s="42"/>
      <c r="D334" s="7"/>
      <c r="E334" s="7"/>
      <c r="F334" s="7"/>
      <c r="J334" s="34" t="str">
        <f>IF(Inventario!A326="","",Inventario!A326)</f>
        <v/>
      </c>
      <c r="K334" s="35" t="str">
        <f>IF(Inventario!B326="","",Inventario!B326)</f>
        <v/>
      </c>
      <c r="W334" s="31"/>
    </row>
    <row r="335" spans="2:23" ht="15.75" thickBot="1" x14ac:dyDescent="0.3">
      <c r="B335" s="42"/>
      <c r="C335" s="42"/>
      <c r="D335" s="7"/>
      <c r="E335" s="7"/>
      <c r="F335" s="7"/>
      <c r="J335" s="34" t="str">
        <f>IF(Inventario!A327="","",Inventario!A327)</f>
        <v/>
      </c>
      <c r="K335" s="35" t="str">
        <f>IF(Inventario!B327="","",Inventario!B327)</f>
        <v/>
      </c>
      <c r="W335" s="31"/>
    </row>
    <row r="336" spans="2:23" ht="15.75" thickBot="1" x14ac:dyDescent="0.3">
      <c r="B336" s="42"/>
      <c r="C336" s="42"/>
      <c r="D336" s="7"/>
      <c r="E336" s="7"/>
      <c r="F336" s="7"/>
      <c r="J336" s="34" t="str">
        <f>IF(Inventario!A328="","",Inventario!A328)</f>
        <v/>
      </c>
      <c r="K336" s="35" t="str">
        <f>IF(Inventario!B328="","",Inventario!B328)</f>
        <v/>
      </c>
      <c r="W336" s="31"/>
    </row>
    <row r="337" spans="2:23" ht="15.75" thickBot="1" x14ac:dyDescent="0.3">
      <c r="B337" s="42"/>
      <c r="C337" s="42"/>
      <c r="D337" s="7"/>
      <c r="E337" s="7"/>
      <c r="F337" s="7"/>
      <c r="J337" s="34" t="str">
        <f>IF(Inventario!A329="","",Inventario!A329)</f>
        <v/>
      </c>
      <c r="K337" s="35" t="str">
        <f>IF(Inventario!B329="","",Inventario!B329)</f>
        <v/>
      </c>
      <c r="W337" s="31"/>
    </row>
    <row r="338" spans="2:23" ht="15.75" thickBot="1" x14ac:dyDescent="0.3">
      <c r="B338" s="42"/>
      <c r="C338" s="42"/>
      <c r="D338" s="7"/>
      <c r="E338" s="7"/>
      <c r="F338" s="7"/>
      <c r="J338" s="34" t="str">
        <f>IF(Inventario!A330="","",Inventario!A330)</f>
        <v/>
      </c>
      <c r="K338" s="35" t="str">
        <f>IF(Inventario!B330="","",Inventario!B330)</f>
        <v/>
      </c>
      <c r="W338" s="31"/>
    </row>
    <row r="339" spans="2:23" ht="15.75" thickBot="1" x14ac:dyDescent="0.3">
      <c r="B339" s="42"/>
      <c r="C339" s="42"/>
      <c r="D339" s="7"/>
      <c r="E339" s="7"/>
      <c r="F339" s="7"/>
      <c r="J339" s="34" t="str">
        <f>IF(Inventario!A331="","",Inventario!A331)</f>
        <v/>
      </c>
      <c r="K339" s="35" t="str">
        <f>IF(Inventario!B331="","",Inventario!B331)</f>
        <v/>
      </c>
      <c r="W339" s="31"/>
    </row>
    <row r="340" spans="2:23" ht="15.75" thickBot="1" x14ac:dyDescent="0.3">
      <c r="B340" s="42"/>
      <c r="C340" s="42"/>
      <c r="D340" s="7"/>
      <c r="E340" s="7"/>
      <c r="F340" s="7"/>
      <c r="J340" s="34" t="str">
        <f>IF(Inventario!A332="","",Inventario!A332)</f>
        <v/>
      </c>
      <c r="K340" s="35" t="str">
        <f>IF(Inventario!B332="","",Inventario!B332)</f>
        <v/>
      </c>
      <c r="W340" s="31"/>
    </row>
    <row r="341" spans="2:23" ht="15.75" thickBot="1" x14ac:dyDescent="0.3">
      <c r="B341" s="42"/>
      <c r="C341" s="42"/>
      <c r="D341" s="7"/>
      <c r="E341" s="7"/>
      <c r="F341" s="7"/>
      <c r="J341" s="34" t="str">
        <f>IF(Inventario!A333="","",Inventario!A333)</f>
        <v/>
      </c>
      <c r="K341" s="35" t="str">
        <f>IF(Inventario!B333="","",Inventario!B333)</f>
        <v/>
      </c>
      <c r="W341" s="31"/>
    </row>
    <row r="342" spans="2:23" ht="15.75" thickBot="1" x14ac:dyDescent="0.3">
      <c r="B342" s="42"/>
      <c r="C342" s="42"/>
      <c r="D342" s="7"/>
      <c r="E342" s="7"/>
      <c r="F342" s="7"/>
      <c r="J342" s="34" t="str">
        <f>IF(Inventario!A334="","",Inventario!A334)</f>
        <v/>
      </c>
      <c r="K342" s="35" t="str">
        <f>IF(Inventario!B334="","",Inventario!B334)</f>
        <v/>
      </c>
      <c r="W342" s="31"/>
    </row>
    <row r="343" spans="2:23" ht="15.75" thickBot="1" x14ac:dyDescent="0.3">
      <c r="B343" s="42"/>
      <c r="C343" s="42"/>
      <c r="D343" s="7"/>
      <c r="E343" s="7"/>
      <c r="F343" s="7"/>
      <c r="J343" s="34" t="str">
        <f>IF(Inventario!A335="","",Inventario!A335)</f>
        <v/>
      </c>
      <c r="K343" s="35" t="str">
        <f>IF(Inventario!B335="","",Inventario!B335)</f>
        <v/>
      </c>
      <c r="W343" s="31"/>
    </row>
    <row r="344" spans="2:23" ht="15.75" thickBot="1" x14ac:dyDescent="0.3">
      <c r="B344" s="42"/>
      <c r="C344" s="42"/>
      <c r="D344" s="7"/>
      <c r="E344" s="7"/>
      <c r="F344" s="7"/>
      <c r="J344" s="34" t="str">
        <f>IF(Inventario!A336="","",Inventario!A336)</f>
        <v/>
      </c>
      <c r="K344" s="35" t="str">
        <f>IF(Inventario!B336="","",Inventario!B336)</f>
        <v/>
      </c>
      <c r="W344" s="31"/>
    </row>
    <row r="345" spans="2:23" ht="15.75" thickBot="1" x14ac:dyDescent="0.3">
      <c r="B345" s="42"/>
      <c r="C345" s="42"/>
      <c r="D345" s="7"/>
      <c r="E345" s="7"/>
      <c r="F345" s="7"/>
      <c r="J345" s="34" t="str">
        <f>IF(Inventario!A337="","",Inventario!A337)</f>
        <v/>
      </c>
      <c r="K345" s="35" t="str">
        <f>IF(Inventario!B337="","",Inventario!B337)</f>
        <v/>
      </c>
      <c r="W345" s="31"/>
    </row>
    <row r="346" spans="2:23" ht="15.75" thickBot="1" x14ac:dyDescent="0.3">
      <c r="B346" s="42"/>
      <c r="C346" s="42"/>
      <c r="D346" s="7"/>
      <c r="E346" s="7"/>
      <c r="F346" s="7"/>
      <c r="J346" s="34" t="str">
        <f>IF(Inventario!A338="","",Inventario!A338)</f>
        <v/>
      </c>
      <c r="K346" s="35" t="str">
        <f>IF(Inventario!B338="","",Inventario!B338)</f>
        <v/>
      </c>
      <c r="W346" s="31"/>
    </row>
    <row r="347" spans="2:23" ht="15.75" thickBot="1" x14ac:dyDescent="0.3">
      <c r="B347" s="42"/>
      <c r="C347" s="42"/>
      <c r="D347" s="7"/>
      <c r="E347" s="7"/>
      <c r="F347" s="7"/>
      <c r="J347" s="34" t="str">
        <f>IF(Inventario!A339="","",Inventario!A339)</f>
        <v/>
      </c>
      <c r="K347" s="35" t="str">
        <f>IF(Inventario!B339="","",Inventario!B339)</f>
        <v/>
      </c>
      <c r="W347" s="31"/>
    </row>
    <row r="348" spans="2:23" ht="15.75" thickBot="1" x14ac:dyDescent="0.3">
      <c r="B348" s="42"/>
      <c r="C348" s="42"/>
      <c r="D348" s="7"/>
      <c r="E348" s="7"/>
      <c r="F348" s="7"/>
      <c r="J348" s="34" t="str">
        <f>IF(Inventario!A340="","",Inventario!A340)</f>
        <v/>
      </c>
      <c r="K348" s="35" t="str">
        <f>IF(Inventario!B340="","",Inventario!B340)</f>
        <v/>
      </c>
      <c r="W348" s="31"/>
    </row>
    <row r="349" spans="2:23" ht="15.75" thickBot="1" x14ac:dyDescent="0.3">
      <c r="B349" s="42"/>
      <c r="C349" s="42"/>
      <c r="D349" s="7"/>
      <c r="E349" s="7"/>
      <c r="F349" s="7"/>
      <c r="J349" s="34" t="str">
        <f>IF(Inventario!A341="","",Inventario!A341)</f>
        <v/>
      </c>
      <c r="K349" s="35" t="str">
        <f>IF(Inventario!B341="","",Inventario!B341)</f>
        <v/>
      </c>
      <c r="W349" s="31"/>
    </row>
    <row r="350" spans="2:23" ht="15.75" thickBot="1" x14ac:dyDescent="0.3">
      <c r="B350" s="42"/>
      <c r="C350" s="42"/>
      <c r="D350" s="7"/>
      <c r="E350" s="7"/>
      <c r="F350" s="7"/>
      <c r="J350" s="34" t="str">
        <f>IF(Inventario!A342="","",Inventario!A342)</f>
        <v/>
      </c>
      <c r="K350" s="35" t="str">
        <f>IF(Inventario!B342="","",Inventario!B342)</f>
        <v/>
      </c>
      <c r="W350" s="31"/>
    </row>
    <row r="351" spans="2:23" ht="15.75" thickBot="1" x14ac:dyDescent="0.3">
      <c r="B351" s="42"/>
      <c r="C351" s="42"/>
      <c r="D351" s="7"/>
      <c r="E351" s="7"/>
      <c r="F351" s="7"/>
      <c r="J351" s="34" t="str">
        <f>IF(Inventario!A343="","",Inventario!A343)</f>
        <v/>
      </c>
      <c r="K351" s="35" t="str">
        <f>IF(Inventario!B343="","",Inventario!B343)</f>
        <v/>
      </c>
      <c r="W351" s="31"/>
    </row>
    <row r="352" spans="2:23" ht="15.75" thickBot="1" x14ac:dyDescent="0.3">
      <c r="B352" s="42"/>
      <c r="C352" s="42"/>
      <c r="D352" s="7"/>
      <c r="E352" s="7"/>
      <c r="F352" s="7"/>
      <c r="J352" s="34" t="str">
        <f>IF(Inventario!A344="","",Inventario!A344)</f>
        <v/>
      </c>
      <c r="K352" s="35" t="str">
        <f>IF(Inventario!B344="","",Inventario!B344)</f>
        <v/>
      </c>
      <c r="W352" s="31"/>
    </row>
    <row r="353" spans="2:23" ht="15.75" thickBot="1" x14ac:dyDescent="0.3">
      <c r="B353" s="42"/>
      <c r="C353" s="42"/>
      <c r="D353" s="7"/>
      <c r="E353" s="7"/>
      <c r="F353" s="7"/>
      <c r="J353" s="34" t="str">
        <f>IF(Inventario!A345="","",Inventario!A345)</f>
        <v/>
      </c>
      <c r="K353" s="35" t="str">
        <f>IF(Inventario!B345="","",Inventario!B345)</f>
        <v/>
      </c>
      <c r="W353" s="31"/>
    </row>
    <row r="354" spans="2:23" ht="15.75" thickBot="1" x14ac:dyDescent="0.3">
      <c r="B354" s="42"/>
      <c r="C354" s="42"/>
      <c r="D354" s="7"/>
      <c r="E354" s="7"/>
      <c r="F354" s="7"/>
      <c r="J354" s="34" t="str">
        <f>IF(Inventario!A346="","",Inventario!A346)</f>
        <v/>
      </c>
      <c r="K354" s="35" t="str">
        <f>IF(Inventario!B346="","",Inventario!B346)</f>
        <v/>
      </c>
      <c r="W354" s="31"/>
    </row>
    <row r="355" spans="2:23" ht="15.75" thickBot="1" x14ac:dyDescent="0.3">
      <c r="B355" s="42"/>
      <c r="C355" s="42"/>
      <c r="D355" s="7"/>
      <c r="E355" s="7"/>
      <c r="F355" s="7"/>
      <c r="J355" s="34" t="str">
        <f>IF(Inventario!A347="","",Inventario!A347)</f>
        <v/>
      </c>
      <c r="K355" s="35" t="str">
        <f>IF(Inventario!B347="","",Inventario!B347)</f>
        <v/>
      </c>
      <c r="W355" s="31"/>
    </row>
    <row r="356" spans="2:23" ht="15.75" thickBot="1" x14ac:dyDescent="0.3">
      <c r="B356" s="42"/>
      <c r="C356" s="42"/>
      <c r="D356" s="7"/>
      <c r="E356" s="7"/>
      <c r="F356" s="7"/>
      <c r="J356" s="34" t="str">
        <f>IF(Inventario!A348="","",Inventario!A348)</f>
        <v/>
      </c>
      <c r="K356" s="35" t="str">
        <f>IF(Inventario!B348="","",Inventario!B348)</f>
        <v/>
      </c>
      <c r="W356" s="31"/>
    </row>
    <row r="357" spans="2:23" ht="15.75" thickBot="1" x14ac:dyDescent="0.3">
      <c r="B357" s="42"/>
      <c r="C357" s="42"/>
      <c r="D357" s="7"/>
      <c r="E357" s="7"/>
      <c r="F357" s="7"/>
      <c r="J357" s="34" t="str">
        <f>IF(Inventario!A349="","",Inventario!A349)</f>
        <v/>
      </c>
      <c r="K357" s="35" t="str">
        <f>IF(Inventario!B349="","",Inventario!B349)</f>
        <v/>
      </c>
      <c r="W357" s="31"/>
    </row>
    <row r="358" spans="2:23" ht="15.75" thickBot="1" x14ac:dyDescent="0.3">
      <c r="B358" s="42"/>
      <c r="C358" s="42"/>
      <c r="D358" s="7"/>
      <c r="E358" s="7"/>
      <c r="F358" s="7"/>
      <c r="J358" s="34" t="str">
        <f>IF(Inventario!A350="","",Inventario!A350)</f>
        <v/>
      </c>
      <c r="K358" s="35" t="str">
        <f>IF(Inventario!B350="","",Inventario!B350)</f>
        <v/>
      </c>
      <c r="W358" s="31"/>
    </row>
    <row r="359" spans="2:23" ht="15.75" thickBot="1" x14ac:dyDescent="0.3">
      <c r="B359" s="42"/>
      <c r="C359" s="42"/>
      <c r="D359" s="7"/>
      <c r="E359" s="7"/>
      <c r="F359" s="7"/>
      <c r="J359" s="34" t="str">
        <f>IF(Inventario!A351="","",Inventario!A351)</f>
        <v/>
      </c>
      <c r="K359" s="35" t="str">
        <f>IF(Inventario!B351="","",Inventario!B351)</f>
        <v/>
      </c>
      <c r="W359" s="31"/>
    </row>
    <row r="360" spans="2:23" ht="15.75" thickBot="1" x14ac:dyDescent="0.3">
      <c r="B360" s="42"/>
      <c r="C360" s="42"/>
      <c r="D360" s="7"/>
      <c r="E360" s="7"/>
      <c r="F360" s="7"/>
      <c r="J360" s="34" t="str">
        <f>IF(Inventario!A352="","",Inventario!A352)</f>
        <v/>
      </c>
      <c r="K360" s="35" t="str">
        <f>IF(Inventario!B352="","",Inventario!B352)</f>
        <v/>
      </c>
      <c r="W360" s="31"/>
    </row>
    <row r="361" spans="2:23" ht="15.75" thickBot="1" x14ac:dyDescent="0.3">
      <c r="B361" s="42"/>
      <c r="C361" s="42"/>
      <c r="D361" s="7"/>
      <c r="E361" s="7"/>
      <c r="F361" s="7"/>
      <c r="J361" s="34" t="str">
        <f>IF(Inventario!A353="","",Inventario!A353)</f>
        <v/>
      </c>
      <c r="K361" s="35" t="str">
        <f>IF(Inventario!B353="","",Inventario!B353)</f>
        <v/>
      </c>
      <c r="W361" s="31"/>
    </row>
    <row r="362" spans="2:23" ht="15.75" thickBot="1" x14ac:dyDescent="0.3">
      <c r="B362" s="42"/>
      <c r="C362" s="42"/>
      <c r="D362" s="7"/>
      <c r="E362" s="7"/>
      <c r="F362" s="7"/>
      <c r="J362" s="34" t="str">
        <f>IF(Inventario!A354="","",Inventario!A354)</f>
        <v/>
      </c>
      <c r="K362" s="35" t="str">
        <f>IF(Inventario!B354="","",Inventario!B354)</f>
        <v/>
      </c>
      <c r="W362" s="31"/>
    </row>
    <row r="363" spans="2:23" ht="15.75" thickBot="1" x14ac:dyDescent="0.3">
      <c r="B363" s="42"/>
      <c r="C363" s="42"/>
      <c r="D363" s="7"/>
      <c r="E363" s="7"/>
      <c r="F363" s="7"/>
      <c r="J363" s="34" t="str">
        <f>IF(Inventario!A355="","",Inventario!A355)</f>
        <v/>
      </c>
      <c r="K363" s="35" t="str">
        <f>IF(Inventario!B355="","",Inventario!B355)</f>
        <v/>
      </c>
      <c r="W363" s="31"/>
    </row>
    <row r="364" spans="2:23" ht="15.75" thickBot="1" x14ac:dyDescent="0.3">
      <c r="B364" s="42"/>
      <c r="C364" s="42"/>
      <c r="D364" s="7"/>
      <c r="E364" s="7"/>
      <c r="F364" s="7"/>
      <c r="J364" s="34" t="str">
        <f>IF(Inventario!A356="","",Inventario!A356)</f>
        <v/>
      </c>
      <c r="K364" s="35" t="str">
        <f>IF(Inventario!B356="","",Inventario!B356)</f>
        <v/>
      </c>
      <c r="W364" s="31"/>
    </row>
    <row r="365" spans="2:23" ht="15.75" thickBot="1" x14ac:dyDescent="0.3">
      <c r="B365" s="42"/>
      <c r="C365" s="42"/>
      <c r="D365" s="7"/>
      <c r="E365" s="7"/>
      <c r="F365" s="7"/>
      <c r="J365" s="34" t="str">
        <f>IF(Inventario!A357="","",Inventario!A357)</f>
        <v/>
      </c>
      <c r="K365" s="35" t="str">
        <f>IF(Inventario!B357="","",Inventario!B357)</f>
        <v/>
      </c>
      <c r="W365" s="31"/>
    </row>
    <row r="366" spans="2:23" ht="15.75" thickBot="1" x14ac:dyDescent="0.3">
      <c r="B366" s="42"/>
      <c r="C366" s="42"/>
      <c r="D366" s="7"/>
      <c r="E366" s="7"/>
      <c r="F366" s="7"/>
      <c r="J366" s="34" t="str">
        <f>IF(Inventario!A358="","",Inventario!A358)</f>
        <v/>
      </c>
      <c r="K366" s="35" t="str">
        <f>IF(Inventario!B358="","",Inventario!B358)</f>
        <v/>
      </c>
      <c r="W366" s="31"/>
    </row>
    <row r="367" spans="2:23" ht="15.75" thickBot="1" x14ac:dyDescent="0.3">
      <c r="B367" s="42"/>
      <c r="C367" s="42"/>
      <c r="D367" s="7"/>
      <c r="E367" s="7"/>
      <c r="F367" s="7"/>
      <c r="J367" s="34" t="str">
        <f>IF(Inventario!A359="","",Inventario!A359)</f>
        <v/>
      </c>
      <c r="K367" s="35" t="str">
        <f>IF(Inventario!B359="","",Inventario!B359)</f>
        <v/>
      </c>
      <c r="W367" s="31"/>
    </row>
    <row r="368" spans="2:23" ht="15.75" thickBot="1" x14ac:dyDescent="0.3">
      <c r="B368" s="42"/>
      <c r="C368" s="42"/>
      <c r="D368" s="7"/>
      <c r="E368" s="7"/>
      <c r="F368" s="7"/>
      <c r="J368" s="34" t="str">
        <f>IF(Inventario!A360="","",Inventario!A360)</f>
        <v/>
      </c>
      <c r="K368" s="35" t="str">
        <f>IF(Inventario!B360="","",Inventario!B360)</f>
        <v/>
      </c>
      <c r="W368" s="31"/>
    </row>
    <row r="369" spans="2:23" ht="15.75" thickBot="1" x14ac:dyDescent="0.3">
      <c r="B369" s="42"/>
      <c r="C369" s="42"/>
      <c r="D369" s="7"/>
      <c r="E369" s="7"/>
      <c r="F369" s="7"/>
      <c r="J369" s="34" t="str">
        <f>IF(Inventario!A361="","",Inventario!A361)</f>
        <v/>
      </c>
      <c r="K369" s="35" t="str">
        <f>IF(Inventario!B361="","",Inventario!B361)</f>
        <v/>
      </c>
      <c r="W369" s="31"/>
    </row>
    <row r="370" spans="2:23" ht="15.75" thickBot="1" x14ac:dyDescent="0.3">
      <c r="B370" s="42"/>
      <c r="C370" s="42"/>
      <c r="D370" s="7"/>
      <c r="E370" s="7"/>
      <c r="F370" s="7"/>
      <c r="J370" s="34" t="str">
        <f>IF(Inventario!A362="","",Inventario!A362)</f>
        <v/>
      </c>
      <c r="K370" s="35" t="str">
        <f>IF(Inventario!B362="","",Inventario!B362)</f>
        <v/>
      </c>
      <c r="W370" s="31"/>
    </row>
    <row r="371" spans="2:23" ht="15.75" thickBot="1" x14ac:dyDescent="0.3">
      <c r="B371" s="42"/>
      <c r="C371" s="42"/>
      <c r="D371" s="7"/>
      <c r="E371" s="7"/>
      <c r="F371" s="7"/>
      <c r="J371" s="34" t="str">
        <f>IF(Inventario!A363="","",Inventario!A363)</f>
        <v/>
      </c>
      <c r="K371" s="35" t="str">
        <f>IF(Inventario!B363="","",Inventario!B363)</f>
        <v/>
      </c>
      <c r="W371" s="31"/>
    </row>
    <row r="372" spans="2:23" ht="15.75" thickBot="1" x14ac:dyDescent="0.3">
      <c r="B372" s="42"/>
      <c r="C372" s="42"/>
      <c r="D372" s="7"/>
      <c r="E372" s="7"/>
      <c r="F372" s="7"/>
      <c r="J372" s="34" t="str">
        <f>IF(Inventario!A364="","",Inventario!A364)</f>
        <v/>
      </c>
      <c r="K372" s="35" t="str">
        <f>IF(Inventario!B364="","",Inventario!B364)</f>
        <v/>
      </c>
      <c r="W372" s="31"/>
    </row>
    <row r="373" spans="2:23" ht="15.75" thickBot="1" x14ac:dyDescent="0.3">
      <c r="B373" s="42"/>
      <c r="C373" s="42"/>
      <c r="D373" s="7"/>
      <c r="E373" s="7"/>
      <c r="F373" s="7"/>
      <c r="J373" s="34" t="str">
        <f>IF(Inventario!A365="","",Inventario!A365)</f>
        <v/>
      </c>
      <c r="K373" s="35" t="str">
        <f>IF(Inventario!B365="","",Inventario!B365)</f>
        <v/>
      </c>
      <c r="W373" s="31"/>
    </row>
    <row r="374" spans="2:23" ht="15.75" thickBot="1" x14ac:dyDescent="0.3">
      <c r="B374" s="42"/>
      <c r="C374" s="42"/>
      <c r="D374" s="7"/>
      <c r="E374" s="7"/>
      <c r="F374" s="7"/>
      <c r="J374" s="34" t="str">
        <f>IF(Inventario!A366="","",Inventario!A366)</f>
        <v/>
      </c>
      <c r="K374" s="35" t="str">
        <f>IF(Inventario!B366="","",Inventario!B366)</f>
        <v/>
      </c>
      <c r="W374" s="31"/>
    </row>
    <row r="375" spans="2:23" ht="15.75" thickBot="1" x14ac:dyDescent="0.3">
      <c r="B375" s="42"/>
      <c r="C375" s="42"/>
      <c r="D375" s="7"/>
      <c r="E375" s="7"/>
      <c r="F375" s="7"/>
      <c r="J375" s="34" t="str">
        <f>IF(Inventario!A367="","",Inventario!A367)</f>
        <v/>
      </c>
      <c r="K375" s="35" t="str">
        <f>IF(Inventario!B367="","",Inventario!B367)</f>
        <v/>
      </c>
      <c r="W375" s="31"/>
    </row>
    <row r="376" spans="2:23" ht="15.75" thickBot="1" x14ac:dyDescent="0.3">
      <c r="B376" s="42"/>
      <c r="C376" s="42"/>
      <c r="D376" s="7"/>
      <c r="E376" s="7"/>
      <c r="F376" s="7"/>
      <c r="J376" s="34" t="str">
        <f>IF(Inventario!A368="","",Inventario!A368)</f>
        <v/>
      </c>
      <c r="K376" s="35" t="str">
        <f>IF(Inventario!B368="","",Inventario!B368)</f>
        <v/>
      </c>
      <c r="W376" s="31"/>
    </row>
    <row r="377" spans="2:23" ht="15.75" thickBot="1" x14ac:dyDescent="0.3">
      <c r="B377" s="42"/>
      <c r="C377" s="42"/>
      <c r="D377" s="7"/>
      <c r="E377" s="7"/>
      <c r="F377" s="7"/>
      <c r="J377" s="34" t="str">
        <f>IF(Inventario!A369="","",Inventario!A369)</f>
        <v/>
      </c>
      <c r="K377" s="35" t="str">
        <f>IF(Inventario!B369="","",Inventario!B369)</f>
        <v/>
      </c>
      <c r="W377" s="31"/>
    </row>
    <row r="378" spans="2:23" ht="15.75" thickBot="1" x14ac:dyDescent="0.3">
      <c r="B378" s="42"/>
      <c r="C378" s="42"/>
      <c r="D378" s="7"/>
      <c r="E378" s="7"/>
      <c r="F378" s="7"/>
      <c r="J378" s="34" t="str">
        <f>IF(Inventario!A370="","",Inventario!A370)</f>
        <v/>
      </c>
      <c r="K378" s="35" t="str">
        <f>IF(Inventario!B370="","",Inventario!B370)</f>
        <v/>
      </c>
      <c r="W378" s="31"/>
    </row>
    <row r="379" spans="2:23" ht="15.75" thickBot="1" x14ac:dyDescent="0.3">
      <c r="B379" s="42"/>
      <c r="C379" s="42"/>
      <c r="D379" s="7"/>
      <c r="E379" s="7"/>
      <c r="F379" s="7"/>
      <c r="J379" s="34" t="str">
        <f>IF(Inventario!A371="","",Inventario!A371)</f>
        <v/>
      </c>
      <c r="K379" s="35" t="str">
        <f>IF(Inventario!B371="","",Inventario!B371)</f>
        <v/>
      </c>
      <c r="W379" s="31"/>
    </row>
    <row r="380" spans="2:23" ht="15.75" thickBot="1" x14ac:dyDescent="0.3">
      <c r="B380" s="42"/>
      <c r="C380" s="42"/>
      <c r="D380" s="7"/>
      <c r="E380" s="7"/>
      <c r="F380" s="7"/>
      <c r="J380" s="34" t="str">
        <f>IF(Inventario!A372="","",Inventario!A372)</f>
        <v/>
      </c>
      <c r="K380" s="35" t="str">
        <f>IF(Inventario!B372="","",Inventario!B372)</f>
        <v/>
      </c>
      <c r="W380" s="31"/>
    </row>
    <row r="381" spans="2:23" ht="15.75" thickBot="1" x14ac:dyDescent="0.3">
      <c r="B381" s="42"/>
      <c r="C381" s="42"/>
      <c r="D381" s="7"/>
      <c r="E381" s="7"/>
      <c r="F381" s="7"/>
      <c r="J381" s="34" t="str">
        <f>IF(Inventario!A373="","",Inventario!A373)</f>
        <v/>
      </c>
      <c r="K381" s="35" t="str">
        <f>IF(Inventario!B373="","",Inventario!B373)</f>
        <v/>
      </c>
      <c r="W381" s="31"/>
    </row>
    <row r="382" spans="2:23" ht="15.75" thickBot="1" x14ac:dyDescent="0.3">
      <c r="B382" s="42"/>
      <c r="C382" s="42"/>
      <c r="D382" s="7"/>
      <c r="E382" s="7"/>
      <c r="F382" s="7"/>
      <c r="J382" s="34" t="str">
        <f>IF(Inventario!A374="","",Inventario!A374)</f>
        <v/>
      </c>
      <c r="K382" s="35" t="str">
        <f>IF(Inventario!B374="","",Inventario!B374)</f>
        <v/>
      </c>
      <c r="W382" s="31"/>
    </row>
    <row r="383" spans="2:23" ht="15.75" thickBot="1" x14ac:dyDescent="0.3">
      <c r="B383" s="42"/>
      <c r="C383" s="42"/>
      <c r="D383" s="7"/>
      <c r="E383" s="7"/>
      <c r="F383" s="7"/>
      <c r="J383" s="34" t="str">
        <f>IF(Inventario!A375="","",Inventario!A375)</f>
        <v/>
      </c>
      <c r="K383" s="35" t="str">
        <f>IF(Inventario!B375="","",Inventario!B375)</f>
        <v/>
      </c>
      <c r="W383" s="31"/>
    </row>
    <row r="384" spans="2:23" ht="15.75" thickBot="1" x14ac:dyDescent="0.3">
      <c r="B384" s="42"/>
      <c r="C384" s="42"/>
      <c r="D384" s="7"/>
      <c r="E384" s="7"/>
      <c r="F384" s="7"/>
      <c r="J384" s="34" t="str">
        <f>IF(Inventario!A376="","",Inventario!A376)</f>
        <v/>
      </c>
      <c r="K384" s="35" t="str">
        <f>IF(Inventario!B376="","",Inventario!B376)</f>
        <v/>
      </c>
      <c r="W384" s="31"/>
    </row>
    <row r="385" spans="2:23" ht="15.75" thickBot="1" x14ac:dyDescent="0.3">
      <c r="B385" s="42"/>
      <c r="C385" s="42"/>
      <c r="D385" s="7"/>
      <c r="E385" s="7"/>
      <c r="F385" s="7"/>
      <c r="J385" s="34" t="str">
        <f>IF(Inventario!A377="","",Inventario!A377)</f>
        <v/>
      </c>
      <c r="K385" s="35" t="str">
        <f>IF(Inventario!B377="","",Inventario!B377)</f>
        <v/>
      </c>
      <c r="W385" s="31"/>
    </row>
    <row r="386" spans="2:23" ht="15.75" thickBot="1" x14ac:dyDescent="0.3">
      <c r="B386" s="42"/>
      <c r="C386" s="42"/>
      <c r="D386" s="7"/>
      <c r="E386" s="7"/>
      <c r="F386" s="7"/>
      <c r="J386" s="34" t="str">
        <f>IF(Inventario!A378="","",Inventario!A378)</f>
        <v/>
      </c>
      <c r="K386" s="35" t="str">
        <f>IF(Inventario!B378="","",Inventario!B378)</f>
        <v/>
      </c>
      <c r="W386" s="31"/>
    </row>
    <row r="387" spans="2:23" ht="15.75" thickBot="1" x14ac:dyDescent="0.3">
      <c r="B387" s="42"/>
      <c r="C387" s="42"/>
      <c r="D387" s="7"/>
      <c r="E387" s="7"/>
      <c r="F387" s="7"/>
      <c r="J387" s="34" t="str">
        <f>IF(Inventario!A379="","",Inventario!A379)</f>
        <v/>
      </c>
      <c r="K387" s="35" t="str">
        <f>IF(Inventario!B379="","",Inventario!B379)</f>
        <v/>
      </c>
      <c r="W387" s="31"/>
    </row>
    <row r="388" spans="2:23" ht="15.75" thickBot="1" x14ac:dyDescent="0.3">
      <c r="B388" s="42"/>
      <c r="C388" s="42"/>
      <c r="D388" s="7"/>
      <c r="E388" s="7"/>
      <c r="F388" s="7"/>
      <c r="J388" s="34" t="str">
        <f>IF(Inventario!A380="","",Inventario!A380)</f>
        <v/>
      </c>
      <c r="K388" s="35" t="str">
        <f>IF(Inventario!B380="","",Inventario!B380)</f>
        <v/>
      </c>
      <c r="W388" s="31"/>
    </row>
    <row r="389" spans="2:23" ht="15.75" thickBot="1" x14ac:dyDescent="0.3">
      <c r="B389" s="42"/>
      <c r="C389" s="42"/>
      <c r="D389" s="7"/>
      <c r="E389" s="7"/>
      <c r="F389" s="7"/>
      <c r="J389" s="34" t="str">
        <f>IF(Inventario!A381="","",Inventario!A381)</f>
        <v/>
      </c>
      <c r="K389" s="35" t="str">
        <f>IF(Inventario!B381="","",Inventario!B381)</f>
        <v/>
      </c>
      <c r="W389" s="31"/>
    </row>
    <row r="390" spans="2:23" ht="15.75" thickBot="1" x14ac:dyDescent="0.3">
      <c r="B390" s="42"/>
      <c r="C390" s="42"/>
      <c r="D390" s="7"/>
      <c r="E390" s="7"/>
      <c r="F390" s="7"/>
      <c r="J390" s="34" t="str">
        <f>IF(Inventario!A382="","",Inventario!A382)</f>
        <v/>
      </c>
      <c r="K390" s="35" t="str">
        <f>IF(Inventario!B382="","",Inventario!B382)</f>
        <v/>
      </c>
      <c r="W390" s="31"/>
    </row>
    <row r="391" spans="2:23" ht="15.75" thickBot="1" x14ac:dyDescent="0.3">
      <c r="B391" s="42"/>
      <c r="C391" s="42"/>
      <c r="D391" s="7"/>
      <c r="E391" s="7"/>
      <c r="F391" s="7"/>
      <c r="J391" s="34" t="str">
        <f>IF(Inventario!A383="","",Inventario!A383)</f>
        <v/>
      </c>
      <c r="K391" s="35" t="str">
        <f>IF(Inventario!B383="","",Inventario!B383)</f>
        <v/>
      </c>
      <c r="W391" s="31"/>
    </row>
    <row r="392" spans="2:23" ht="15.75" thickBot="1" x14ac:dyDescent="0.3">
      <c r="B392" s="42"/>
      <c r="C392" s="42"/>
      <c r="D392" s="7"/>
      <c r="E392" s="7"/>
      <c r="F392" s="7"/>
      <c r="J392" s="34" t="str">
        <f>IF(Inventario!A384="","",Inventario!A384)</f>
        <v/>
      </c>
      <c r="K392" s="35" t="str">
        <f>IF(Inventario!B384="","",Inventario!B384)</f>
        <v/>
      </c>
      <c r="W392" s="31"/>
    </row>
    <row r="393" spans="2:23" ht="15.75" thickBot="1" x14ac:dyDescent="0.3">
      <c r="B393" s="42"/>
      <c r="C393" s="42"/>
      <c r="D393" s="7"/>
      <c r="E393" s="7"/>
      <c r="F393" s="7"/>
      <c r="J393" s="34" t="str">
        <f>IF(Inventario!A385="","",Inventario!A385)</f>
        <v/>
      </c>
      <c r="K393" s="35" t="str">
        <f>IF(Inventario!B385="","",Inventario!B385)</f>
        <v/>
      </c>
      <c r="W393" s="31"/>
    </row>
    <row r="394" spans="2:23" ht="15.75" thickBot="1" x14ac:dyDescent="0.3">
      <c r="B394" s="42"/>
      <c r="C394" s="42"/>
      <c r="D394" s="7"/>
      <c r="E394" s="7"/>
      <c r="F394" s="7"/>
      <c r="J394" s="34" t="str">
        <f>IF(Inventario!A386="","",Inventario!A386)</f>
        <v/>
      </c>
      <c r="K394" s="35" t="str">
        <f>IF(Inventario!B386="","",Inventario!B386)</f>
        <v/>
      </c>
      <c r="W394" s="31"/>
    </row>
    <row r="395" spans="2:23" ht="15.75" thickBot="1" x14ac:dyDescent="0.3">
      <c r="B395" s="42"/>
      <c r="C395" s="42"/>
      <c r="D395" s="7"/>
      <c r="E395" s="7"/>
      <c r="F395" s="7"/>
      <c r="J395" s="34" t="str">
        <f>IF(Inventario!A387="","",Inventario!A387)</f>
        <v/>
      </c>
      <c r="K395" s="35" t="str">
        <f>IF(Inventario!B387="","",Inventario!B387)</f>
        <v/>
      </c>
      <c r="W395" s="31"/>
    </row>
    <row r="396" spans="2:23" ht="15.75" thickBot="1" x14ac:dyDescent="0.3">
      <c r="B396" s="42"/>
      <c r="C396" s="42"/>
      <c r="D396" s="7"/>
      <c r="E396" s="7"/>
      <c r="F396" s="7"/>
      <c r="J396" s="34" t="str">
        <f>IF(Inventario!A388="","",Inventario!A388)</f>
        <v/>
      </c>
      <c r="K396" s="35" t="str">
        <f>IF(Inventario!B388="","",Inventario!B388)</f>
        <v/>
      </c>
      <c r="W396" s="31"/>
    </row>
    <row r="397" spans="2:23" ht="15.75" thickBot="1" x14ac:dyDescent="0.3">
      <c r="B397" s="42"/>
      <c r="C397" s="42"/>
      <c r="D397" s="7"/>
      <c r="E397" s="7"/>
      <c r="F397" s="7"/>
      <c r="J397" s="34" t="str">
        <f>IF(Inventario!A389="","",Inventario!A389)</f>
        <v/>
      </c>
      <c r="K397" s="35" t="str">
        <f>IF(Inventario!B389="","",Inventario!B389)</f>
        <v/>
      </c>
      <c r="W397" s="31"/>
    </row>
    <row r="398" spans="2:23" ht="15.75" thickBot="1" x14ac:dyDescent="0.3">
      <c r="B398" s="42"/>
      <c r="C398" s="42"/>
      <c r="D398" s="7"/>
      <c r="E398" s="7"/>
      <c r="F398" s="7"/>
      <c r="J398" s="34" t="str">
        <f>IF(Inventario!A390="","",Inventario!A390)</f>
        <v/>
      </c>
      <c r="K398" s="35" t="str">
        <f>IF(Inventario!B390="","",Inventario!B390)</f>
        <v/>
      </c>
      <c r="W398" s="31"/>
    </row>
    <row r="399" spans="2:23" ht="15.75" thickBot="1" x14ac:dyDescent="0.3">
      <c r="B399" s="42"/>
      <c r="C399" s="42"/>
      <c r="D399" s="7"/>
      <c r="E399" s="7"/>
      <c r="F399" s="7"/>
      <c r="J399" s="34" t="str">
        <f>IF(Inventario!A391="","",Inventario!A391)</f>
        <v/>
      </c>
      <c r="K399" s="35" t="str">
        <f>IF(Inventario!B391="","",Inventario!B391)</f>
        <v/>
      </c>
      <c r="W399" s="31"/>
    </row>
    <row r="400" spans="2:23" ht="15.75" thickBot="1" x14ac:dyDescent="0.3">
      <c r="B400" s="42"/>
      <c r="C400" s="42"/>
      <c r="D400" s="7"/>
      <c r="E400" s="7"/>
      <c r="F400" s="7"/>
      <c r="J400" s="34" t="str">
        <f>IF(Inventario!A392="","",Inventario!A392)</f>
        <v/>
      </c>
      <c r="K400" s="35" t="str">
        <f>IF(Inventario!B392="","",Inventario!B392)</f>
        <v/>
      </c>
      <c r="W400" s="31"/>
    </row>
    <row r="401" spans="2:23" ht="15.75" thickBot="1" x14ac:dyDescent="0.3">
      <c r="B401" s="42"/>
      <c r="C401" s="42"/>
      <c r="D401" s="7"/>
      <c r="E401" s="7"/>
      <c r="F401" s="7"/>
      <c r="J401" s="34" t="str">
        <f>IF(Inventario!A393="","",Inventario!A393)</f>
        <v/>
      </c>
      <c r="K401" s="35" t="str">
        <f>IF(Inventario!B393="","",Inventario!B393)</f>
        <v/>
      </c>
      <c r="W401" s="31"/>
    </row>
    <row r="402" spans="2:23" ht="15.75" thickBot="1" x14ac:dyDescent="0.3">
      <c r="B402" s="42"/>
      <c r="C402" s="42"/>
      <c r="D402" s="7"/>
      <c r="E402" s="7"/>
      <c r="F402" s="7"/>
      <c r="J402" s="34" t="str">
        <f>IF(Inventario!A394="","",Inventario!A394)</f>
        <v/>
      </c>
      <c r="K402" s="35" t="str">
        <f>IF(Inventario!B394="","",Inventario!B394)</f>
        <v/>
      </c>
      <c r="W402" s="31"/>
    </row>
    <row r="403" spans="2:23" ht="15.75" thickBot="1" x14ac:dyDescent="0.3">
      <c r="B403" s="42"/>
      <c r="C403" s="42"/>
      <c r="D403" s="7"/>
      <c r="E403" s="7"/>
      <c r="F403" s="7"/>
      <c r="J403" s="34" t="str">
        <f>IF(Inventario!A395="","",Inventario!A395)</f>
        <v/>
      </c>
      <c r="K403" s="35" t="str">
        <f>IF(Inventario!B395="","",Inventario!B395)</f>
        <v/>
      </c>
      <c r="W403" s="31"/>
    </row>
    <row r="404" spans="2:23" ht="15.75" thickBot="1" x14ac:dyDescent="0.3">
      <c r="B404" s="42"/>
      <c r="C404" s="42"/>
      <c r="D404" s="7"/>
      <c r="E404" s="7"/>
      <c r="F404" s="7"/>
      <c r="J404" s="34" t="str">
        <f>IF(Inventario!A396="","",Inventario!A396)</f>
        <v/>
      </c>
      <c r="K404" s="35" t="str">
        <f>IF(Inventario!B396="","",Inventario!B396)</f>
        <v/>
      </c>
      <c r="W404" s="31"/>
    </row>
    <row r="405" spans="2:23" ht="15.75" thickBot="1" x14ac:dyDescent="0.3">
      <c r="B405" s="42"/>
      <c r="C405" s="42"/>
      <c r="D405" s="7"/>
      <c r="E405" s="7"/>
      <c r="F405" s="7"/>
      <c r="J405" s="34" t="str">
        <f>IF(Inventario!A397="","",Inventario!A397)</f>
        <v/>
      </c>
      <c r="K405" s="35" t="str">
        <f>IF(Inventario!B397="","",Inventario!B397)</f>
        <v/>
      </c>
      <c r="W405" s="31"/>
    </row>
    <row r="406" spans="2:23" ht="15.75" thickBot="1" x14ac:dyDescent="0.3">
      <c r="B406" s="42"/>
      <c r="C406" s="42"/>
      <c r="D406" s="7"/>
      <c r="E406" s="7"/>
      <c r="F406" s="7"/>
      <c r="J406" s="34" t="str">
        <f>IF(Inventario!A398="","",Inventario!A398)</f>
        <v/>
      </c>
      <c r="K406" s="35" t="str">
        <f>IF(Inventario!B398="","",Inventario!B398)</f>
        <v/>
      </c>
      <c r="W406" s="31"/>
    </row>
    <row r="407" spans="2:23" ht="15.75" thickBot="1" x14ac:dyDescent="0.3">
      <c r="B407" s="42"/>
      <c r="C407" s="42"/>
      <c r="D407" s="7"/>
      <c r="E407" s="7"/>
      <c r="F407" s="7"/>
      <c r="J407" s="34" t="str">
        <f>IF(Inventario!A399="","",Inventario!A399)</f>
        <v/>
      </c>
      <c r="K407" s="35" t="str">
        <f>IF(Inventario!B399="","",Inventario!B399)</f>
        <v/>
      </c>
      <c r="W407" s="31"/>
    </row>
    <row r="408" spans="2:23" ht="15.75" thickBot="1" x14ac:dyDescent="0.3">
      <c r="B408" s="42"/>
      <c r="C408" s="42"/>
      <c r="D408" s="7"/>
      <c r="E408" s="7"/>
      <c r="F408" s="7"/>
      <c r="J408" s="34" t="str">
        <f>IF(Inventario!A400="","",Inventario!A400)</f>
        <v/>
      </c>
      <c r="K408" s="35" t="str">
        <f>IF(Inventario!B400="","",Inventario!B400)</f>
        <v/>
      </c>
      <c r="W408" s="31"/>
    </row>
    <row r="409" spans="2:23" ht="15.75" thickBot="1" x14ac:dyDescent="0.3">
      <c r="B409" s="42"/>
      <c r="C409" s="42"/>
      <c r="D409" s="7"/>
      <c r="E409" s="7"/>
      <c r="F409" s="7"/>
      <c r="J409" s="34" t="str">
        <f>IF(Inventario!A401="","",Inventario!A401)</f>
        <v/>
      </c>
      <c r="K409" s="35" t="str">
        <f>IF(Inventario!B401="","",Inventario!B401)</f>
        <v/>
      </c>
      <c r="W409" s="31"/>
    </row>
    <row r="410" spans="2:23" ht="15.75" thickBot="1" x14ac:dyDescent="0.3">
      <c r="B410" s="42"/>
      <c r="C410" s="42"/>
      <c r="D410" s="7"/>
      <c r="E410" s="7"/>
      <c r="F410" s="7"/>
      <c r="J410" s="34" t="str">
        <f>IF(Inventario!A402="","",Inventario!A402)</f>
        <v/>
      </c>
      <c r="K410" s="35" t="str">
        <f>IF(Inventario!B402="","",Inventario!B402)</f>
        <v/>
      </c>
      <c r="W410" s="31"/>
    </row>
    <row r="411" spans="2:23" ht="15.75" thickBot="1" x14ac:dyDescent="0.3">
      <c r="B411" s="42"/>
      <c r="C411" s="42"/>
      <c r="D411" s="7"/>
      <c r="E411" s="7"/>
      <c r="F411" s="7"/>
      <c r="J411" s="34" t="str">
        <f>IF(Inventario!A403="","",Inventario!A403)</f>
        <v/>
      </c>
      <c r="K411" s="35" t="str">
        <f>IF(Inventario!B403="","",Inventario!B403)</f>
        <v/>
      </c>
      <c r="W411" s="31"/>
    </row>
    <row r="412" spans="2:23" ht="15.75" thickBot="1" x14ac:dyDescent="0.3">
      <c r="B412" s="42"/>
      <c r="C412" s="42"/>
      <c r="D412" s="7"/>
      <c r="E412" s="7"/>
      <c r="F412" s="7"/>
      <c r="J412" s="34" t="str">
        <f>IF(Inventario!A404="","",Inventario!A404)</f>
        <v/>
      </c>
      <c r="K412" s="35" t="str">
        <f>IF(Inventario!B404="","",Inventario!B404)</f>
        <v/>
      </c>
      <c r="W412" s="31"/>
    </row>
    <row r="413" spans="2:23" ht="15.75" thickBot="1" x14ac:dyDescent="0.3">
      <c r="B413" s="42"/>
      <c r="C413" s="42"/>
      <c r="D413" s="7"/>
      <c r="E413" s="7"/>
      <c r="F413" s="7"/>
      <c r="J413" s="34" t="str">
        <f>IF(Inventario!A405="","",Inventario!A405)</f>
        <v/>
      </c>
      <c r="K413" s="35" t="str">
        <f>IF(Inventario!B405="","",Inventario!B405)</f>
        <v/>
      </c>
      <c r="W413" s="31"/>
    </row>
    <row r="414" spans="2:23" ht="15.75" thickBot="1" x14ac:dyDescent="0.3">
      <c r="B414" s="42"/>
      <c r="C414" s="42"/>
      <c r="D414" s="7"/>
      <c r="E414" s="7"/>
      <c r="F414" s="7"/>
      <c r="J414" s="34" t="str">
        <f>IF(Inventario!A406="","",Inventario!A406)</f>
        <v/>
      </c>
      <c r="K414" s="35" t="str">
        <f>IF(Inventario!B406="","",Inventario!B406)</f>
        <v/>
      </c>
      <c r="W414" s="31"/>
    </row>
    <row r="415" spans="2:23" ht="15.75" thickBot="1" x14ac:dyDescent="0.3">
      <c r="B415" s="42"/>
      <c r="C415" s="42"/>
      <c r="D415" s="7"/>
      <c r="E415" s="7"/>
      <c r="F415" s="7"/>
      <c r="J415" s="34" t="str">
        <f>IF(Inventario!A407="","",Inventario!A407)</f>
        <v/>
      </c>
      <c r="K415" s="35" t="str">
        <f>IF(Inventario!B407="","",Inventario!B407)</f>
        <v/>
      </c>
      <c r="W415" s="31"/>
    </row>
    <row r="416" spans="2:23" ht="15.75" thickBot="1" x14ac:dyDescent="0.3">
      <c r="B416" s="42"/>
      <c r="C416" s="42"/>
      <c r="D416" s="7"/>
      <c r="E416" s="7"/>
      <c r="F416" s="7"/>
      <c r="J416" s="34" t="str">
        <f>IF(Inventario!A408="","",Inventario!A408)</f>
        <v/>
      </c>
      <c r="K416" s="35" t="str">
        <f>IF(Inventario!B408="","",Inventario!B408)</f>
        <v/>
      </c>
      <c r="W416" s="31"/>
    </row>
    <row r="417" spans="2:23" ht="15.75" thickBot="1" x14ac:dyDescent="0.3">
      <c r="B417" s="42"/>
      <c r="C417" s="42"/>
      <c r="D417" s="7"/>
      <c r="E417" s="7"/>
      <c r="F417" s="7"/>
      <c r="J417" s="34" t="str">
        <f>IF(Inventario!A409="","",Inventario!A409)</f>
        <v/>
      </c>
      <c r="K417" s="35" t="str">
        <f>IF(Inventario!B409="","",Inventario!B409)</f>
        <v/>
      </c>
      <c r="W417" s="31"/>
    </row>
    <row r="418" spans="2:23" ht="15.75" thickBot="1" x14ac:dyDescent="0.3">
      <c r="B418" s="42"/>
      <c r="C418" s="42"/>
      <c r="D418" s="7"/>
      <c r="E418" s="7"/>
      <c r="F418" s="7"/>
      <c r="J418" s="34" t="str">
        <f>IF(Inventario!A410="","",Inventario!A410)</f>
        <v/>
      </c>
      <c r="K418" s="35" t="str">
        <f>IF(Inventario!B410="","",Inventario!B410)</f>
        <v/>
      </c>
      <c r="W418" s="31"/>
    </row>
    <row r="419" spans="2:23" ht="15.75" thickBot="1" x14ac:dyDescent="0.3">
      <c r="B419" s="42"/>
      <c r="C419" s="42"/>
      <c r="D419" s="7"/>
      <c r="E419" s="7"/>
      <c r="F419" s="7"/>
      <c r="J419" s="34" t="str">
        <f>IF(Inventario!A411="","",Inventario!A411)</f>
        <v/>
      </c>
      <c r="K419" s="35" t="str">
        <f>IF(Inventario!B411="","",Inventario!B411)</f>
        <v/>
      </c>
      <c r="W419" s="31"/>
    </row>
    <row r="420" spans="2:23" ht="15.75" thickBot="1" x14ac:dyDescent="0.3">
      <c r="B420" s="42"/>
      <c r="C420" s="42"/>
      <c r="D420" s="7"/>
      <c r="E420" s="7"/>
      <c r="F420" s="7"/>
      <c r="J420" s="34" t="str">
        <f>IF(Inventario!A412="","",Inventario!A412)</f>
        <v/>
      </c>
      <c r="K420" s="35" t="str">
        <f>IF(Inventario!B412="","",Inventario!B412)</f>
        <v/>
      </c>
      <c r="W420" s="31"/>
    </row>
    <row r="421" spans="2:23" ht="15.75" thickBot="1" x14ac:dyDescent="0.3">
      <c r="B421" s="42"/>
      <c r="C421" s="42"/>
      <c r="D421" s="7"/>
      <c r="E421" s="7"/>
      <c r="F421" s="7"/>
      <c r="J421" s="34" t="str">
        <f>IF(Inventario!A413="","",Inventario!A413)</f>
        <v/>
      </c>
      <c r="K421" s="35" t="str">
        <f>IF(Inventario!B413="","",Inventario!B413)</f>
        <v/>
      </c>
      <c r="W421" s="31"/>
    </row>
    <row r="422" spans="2:23" ht="15.75" thickBot="1" x14ac:dyDescent="0.3">
      <c r="B422" s="42"/>
      <c r="C422" s="42"/>
      <c r="D422" s="7"/>
      <c r="E422" s="7"/>
      <c r="F422" s="7"/>
      <c r="J422" s="34" t="str">
        <f>IF(Inventario!A414="","",Inventario!A414)</f>
        <v/>
      </c>
      <c r="K422" s="35" t="str">
        <f>IF(Inventario!B414="","",Inventario!B414)</f>
        <v/>
      </c>
      <c r="W422" s="31"/>
    </row>
    <row r="423" spans="2:23" ht="15.75" thickBot="1" x14ac:dyDescent="0.3">
      <c r="B423" s="42"/>
      <c r="C423" s="42"/>
      <c r="D423" s="7"/>
      <c r="E423" s="7"/>
      <c r="F423" s="7"/>
      <c r="J423" s="34" t="str">
        <f>IF(Inventario!A415="","",Inventario!A415)</f>
        <v/>
      </c>
      <c r="K423" s="35" t="str">
        <f>IF(Inventario!B415="","",Inventario!B415)</f>
        <v/>
      </c>
      <c r="W423" s="31"/>
    </row>
    <row r="424" spans="2:23" ht="15.75" thickBot="1" x14ac:dyDescent="0.3">
      <c r="B424" s="42"/>
      <c r="C424" s="42"/>
      <c r="D424" s="7"/>
      <c r="E424" s="7"/>
      <c r="F424" s="7"/>
      <c r="J424" s="34" t="str">
        <f>IF(Inventario!A416="","",Inventario!A416)</f>
        <v/>
      </c>
      <c r="K424" s="35" t="str">
        <f>IF(Inventario!B416="","",Inventario!B416)</f>
        <v/>
      </c>
      <c r="W424" s="31"/>
    </row>
    <row r="425" spans="2:23" ht="15.75" thickBot="1" x14ac:dyDescent="0.3">
      <c r="B425" s="42"/>
      <c r="C425" s="42"/>
      <c r="D425" s="7"/>
      <c r="E425" s="7"/>
      <c r="F425" s="7"/>
      <c r="J425" s="34" t="str">
        <f>IF(Inventario!A417="","",Inventario!A417)</f>
        <v/>
      </c>
      <c r="K425" s="35" t="str">
        <f>IF(Inventario!B417="","",Inventario!B417)</f>
        <v/>
      </c>
      <c r="W425" s="31"/>
    </row>
    <row r="426" spans="2:23" ht="15.75" thickBot="1" x14ac:dyDescent="0.3">
      <c r="B426" s="42"/>
      <c r="C426" s="42"/>
      <c r="D426" s="7"/>
      <c r="E426" s="7"/>
      <c r="F426" s="7"/>
      <c r="J426" s="34" t="str">
        <f>IF(Inventario!A418="","",Inventario!A418)</f>
        <v/>
      </c>
      <c r="K426" s="35" t="str">
        <f>IF(Inventario!B418="","",Inventario!B418)</f>
        <v/>
      </c>
      <c r="W426" s="31"/>
    </row>
    <row r="427" spans="2:23" ht="15.75" thickBot="1" x14ac:dyDescent="0.3">
      <c r="B427" s="42"/>
      <c r="C427" s="42"/>
      <c r="D427" s="7"/>
      <c r="E427" s="7"/>
      <c r="F427" s="7"/>
      <c r="J427" s="34" t="str">
        <f>IF(Inventario!A419="","",Inventario!A419)</f>
        <v/>
      </c>
      <c r="K427" s="35" t="str">
        <f>IF(Inventario!B419="","",Inventario!B419)</f>
        <v/>
      </c>
      <c r="W427" s="31"/>
    </row>
    <row r="428" spans="2:23" ht="15.75" thickBot="1" x14ac:dyDescent="0.3">
      <c r="B428" s="42"/>
      <c r="C428" s="42"/>
      <c r="D428" s="7"/>
      <c r="E428" s="7"/>
      <c r="F428" s="7"/>
      <c r="J428" s="34" t="str">
        <f>IF(Inventario!A420="","",Inventario!A420)</f>
        <v/>
      </c>
      <c r="K428" s="35" t="str">
        <f>IF(Inventario!B420="","",Inventario!B420)</f>
        <v/>
      </c>
      <c r="W428" s="31"/>
    </row>
    <row r="429" spans="2:23" ht="15.75" thickBot="1" x14ac:dyDescent="0.3">
      <c r="B429" s="42"/>
      <c r="C429" s="42"/>
      <c r="D429" s="7"/>
      <c r="E429" s="7"/>
      <c r="F429" s="7"/>
      <c r="J429" s="34" t="str">
        <f>IF(Inventario!A421="","",Inventario!A421)</f>
        <v/>
      </c>
      <c r="K429" s="35" t="str">
        <f>IF(Inventario!B421="","",Inventario!B421)</f>
        <v/>
      </c>
      <c r="W429" s="31"/>
    </row>
    <row r="430" spans="2:23" ht="15.75" thickBot="1" x14ac:dyDescent="0.3">
      <c r="B430" s="42"/>
      <c r="C430" s="42"/>
      <c r="D430" s="7"/>
      <c r="E430" s="7"/>
      <c r="F430" s="7"/>
      <c r="J430" s="34" t="str">
        <f>IF(Inventario!A422="","",Inventario!A422)</f>
        <v/>
      </c>
      <c r="K430" s="35" t="str">
        <f>IF(Inventario!B422="","",Inventario!B422)</f>
        <v/>
      </c>
      <c r="W430" s="31"/>
    </row>
    <row r="431" spans="2:23" ht="15.75" thickBot="1" x14ac:dyDescent="0.3">
      <c r="B431" s="42"/>
      <c r="C431" s="42"/>
      <c r="D431" s="7"/>
      <c r="E431" s="7"/>
      <c r="F431" s="7"/>
      <c r="J431" s="34" t="str">
        <f>IF(Inventario!A423="","",Inventario!A423)</f>
        <v/>
      </c>
      <c r="K431" s="35" t="str">
        <f>IF(Inventario!B423="","",Inventario!B423)</f>
        <v/>
      </c>
      <c r="W431" s="31"/>
    </row>
    <row r="432" spans="2:23" ht="15.75" thickBot="1" x14ac:dyDescent="0.3">
      <c r="B432" s="42"/>
      <c r="C432" s="42"/>
      <c r="D432" s="7"/>
      <c r="E432" s="7"/>
      <c r="F432" s="7"/>
      <c r="J432" s="34" t="str">
        <f>IF(Inventario!A424="","",Inventario!A424)</f>
        <v/>
      </c>
      <c r="K432" s="35" t="str">
        <f>IF(Inventario!B424="","",Inventario!B424)</f>
        <v/>
      </c>
      <c r="W432" s="31"/>
    </row>
    <row r="433" spans="2:23" ht="15.75" thickBot="1" x14ac:dyDescent="0.3">
      <c r="B433" s="42"/>
      <c r="C433" s="42"/>
      <c r="D433" s="7"/>
      <c r="E433" s="7"/>
      <c r="F433" s="7"/>
      <c r="J433" s="34" t="str">
        <f>IF(Inventario!A425="","",Inventario!A425)</f>
        <v/>
      </c>
      <c r="K433" s="35" t="str">
        <f>IF(Inventario!B425="","",Inventario!B425)</f>
        <v/>
      </c>
      <c r="W433" s="31"/>
    </row>
    <row r="434" spans="2:23" ht="15.75" thickBot="1" x14ac:dyDescent="0.3">
      <c r="B434" s="42"/>
      <c r="C434" s="42"/>
      <c r="D434" s="7"/>
      <c r="E434" s="7"/>
      <c r="F434" s="7"/>
      <c r="J434" s="34" t="str">
        <f>IF(Inventario!A426="","",Inventario!A426)</f>
        <v/>
      </c>
      <c r="K434" s="35" t="str">
        <f>IF(Inventario!B426="","",Inventario!B426)</f>
        <v/>
      </c>
      <c r="W434" s="31"/>
    </row>
    <row r="435" spans="2:23" ht="15.75" thickBot="1" x14ac:dyDescent="0.3">
      <c r="B435" s="42"/>
      <c r="C435" s="42"/>
      <c r="D435" s="7"/>
      <c r="E435" s="7"/>
      <c r="F435" s="7"/>
      <c r="J435" s="34" t="str">
        <f>IF(Inventario!A427="","",Inventario!A427)</f>
        <v/>
      </c>
      <c r="K435" s="35" t="str">
        <f>IF(Inventario!B427="","",Inventario!B427)</f>
        <v/>
      </c>
      <c r="W435" s="31"/>
    </row>
    <row r="436" spans="2:23" ht="15.75" thickBot="1" x14ac:dyDescent="0.3">
      <c r="B436" s="42"/>
      <c r="C436" s="42"/>
      <c r="D436" s="7"/>
      <c r="E436" s="7"/>
      <c r="F436" s="7"/>
      <c r="J436" s="34" t="str">
        <f>IF(Inventario!A428="","",Inventario!A428)</f>
        <v/>
      </c>
      <c r="K436" s="35" t="str">
        <f>IF(Inventario!B428="","",Inventario!B428)</f>
        <v/>
      </c>
      <c r="W436" s="31"/>
    </row>
    <row r="437" spans="2:23" ht="15.75" thickBot="1" x14ac:dyDescent="0.3">
      <c r="B437" s="42"/>
      <c r="C437" s="42"/>
      <c r="D437" s="7"/>
      <c r="E437" s="7"/>
      <c r="F437" s="7"/>
      <c r="J437" s="34" t="str">
        <f>IF(Inventario!A429="","",Inventario!A429)</f>
        <v/>
      </c>
      <c r="K437" s="35" t="str">
        <f>IF(Inventario!B429="","",Inventario!B429)</f>
        <v/>
      </c>
      <c r="W437" s="31"/>
    </row>
    <row r="438" spans="2:23" ht="15.75" thickBot="1" x14ac:dyDescent="0.3">
      <c r="B438" s="42"/>
      <c r="C438" s="42"/>
      <c r="D438" s="7"/>
      <c r="E438" s="7"/>
      <c r="F438" s="7"/>
      <c r="J438" s="34" t="str">
        <f>IF(Inventario!A430="","",Inventario!A430)</f>
        <v/>
      </c>
      <c r="K438" s="35" t="str">
        <f>IF(Inventario!B430="","",Inventario!B430)</f>
        <v/>
      </c>
      <c r="W438" s="31"/>
    </row>
    <row r="439" spans="2:23" ht="15.75" thickBot="1" x14ac:dyDescent="0.3">
      <c r="B439" s="42"/>
      <c r="C439" s="42"/>
      <c r="D439" s="7"/>
      <c r="E439" s="7"/>
      <c r="F439" s="7"/>
      <c r="J439" s="34" t="str">
        <f>IF(Inventario!A431="","",Inventario!A431)</f>
        <v/>
      </c>
      <c r="K439" s="35" t="str">
        <f>IF(Inventario!B431="","",Inventario!B431)</f>
        <v/>
      </c>
      <c r="W439" s="31"/>
    </row>
    <row r="440" spans="2:23" ht="15.75" thickBot="1" x14ac:dyDescent="0.3">
      <c r="B440" s="42"/>
      <c r="C440" s="42"/>
      <c r="D440" s="7"/>
      <c r="E440" s="7"/>
      <c r="F440" s="7"/>
      <c r="J440" s="34" t="str">
        <f>IF(Inventario!A432="","",Inventario!A432)</f>
        <v/>
      </c>
      <c r="K440" s="35" t="str">
        <f>IF(Inventario!B432="","",Inventario!B432)</f>
        <v/>
      </c>
      <c r="W440" s="31"/>
    </row>
    <row r="441" spans="2:23" ht="15.75" thickBot="1" x14ac:dyDescent="0.3">
      <c r="B441" s="42"/>
      <c r="C441" s="42"/>
      <c r="D441" s="7"/>
      <c r="E441" s="7"/>
      <c r="F441" s="7"/>
      <c r="J441" s="34" t="str">
        <f>IF(Inventario!A433="","",Inventario!A433)</f>
        <v/>
      </c>
      <c r="K441" s="35" t="str">
        <f>IF(Inventario!B433="","",Inventario!B433)</f>
        <v/>
      </c>
      <c r="W441" s="31"/>
    </row>
    <row r="442" spans="2:23" ht="15.75" thickBot="1" x14ac:dyDescent="0.3">
      <c r="B442" s="42"/>
      <c r="C442" s="42"/>
      <c r="D442" s="7"/>
      <c r="E442" s="7"/>
      <c r="F442" s="7"/>
      <c r="J442" s="34" t="str">
        <f>IF(Inventario!A434="","",Inventario!A434)</f>
        <v/>
      </c>
      <c r="K442" s="35" t="str">
        <f>IF(Inventario!B434="","",Inventario!B434)</f>
        <v/>
      </c>
      <c r="W442" s="31"/>
    </row>
    <row r="443" spans="2:23" ht="15.75" thickBot="1" x14ac:dyDescent="0.3">
      <c r="B443" s="42"/>
      <c r="C443" s="42"/>
      <c r="D443" s="7"/>
      <c r="E443" s="7"/>
      <c r="F443" s="7"/>
      <c r="J443" s="34" t="str">
        <f>IF(Inventario!A435="","",Inventario!A435)</f>
        <v/>
      </c>
      <c r="K443" s="35" t="str">
        <f>IF(Inventario!B435="","",Inventario!B435)</f>
        <v/>
      </c>
      <c r="W443" s="31"/>
    </row>
    <row r="444" spans="2:23" ht="15.75" thickBot="1" x14ac:dyDescent="0.3">
      <c r="B444" s="42"/>
      <c r="C444" s="42"/>
      <c r="D444" s="7"/>
      <c r="E444" s="7"/>
      <c r="F444" s="7"/>
      <c r="J444" s="34" t="str">
        <f>IF(Inventario!A436="","",Inventario!A436)</f>
        <v/>
      </c>
      <c r="K444" s="35" t="str">
        <f>IF(Inventario!B436="","",Inventario!B436)</f>
        <v/>
      </c>
      <c r="W444" s="31"/>
    </row>
    <row r="445" spans="2:23" ht="15.75" thickBot="1" x14ac:dyDescent="0.3">
      <c r="B445" s="42"/>
      <c r="C445" s="42"/>
      <c r="D445" s="7"/>
      <c r="E445" s="7"/>
      <c r="F445" s="7"/>
      <c r="J445" s="34" t="str">
        <f>IF(Inventario!A437="","",Inventario!A437)</f>
        <v/>
      </c>
      <c r="K445" s="35" t="str">
        <f>IF(Inventario!B437="","",Inventario!B437)</f>
        <v/>
      </c>
      <c r="W445" s="31"/>
    </row>
    <row r="446" spans="2:23" ht="15.75" thickBot="1" x14ac:dyDescent="0.3">
      <c r="B446" s="42"/>
      <c r="C446" s="42"/>
      <c r="D446" s="7"/>
      <c r="E446" s="7"/>
      <c r="F446" s="7"/>
      <c r="J446" s="34" t="str">
        <f>IF(Inventario!A438="","",Inventario!A438)</f>
        <v/>
      </c>
      <c r="K446" s="35" t="str">
        <f>IF(Inventario!B438="","",Inventario!B438)</f>
        <v/>
      </c>
      <c r="W446" s="31"/>
    </row>
    <row r="447" spans="2:23" ht="15.75" thickBot="1" x14ac:dyDescent="0.3">
      <c r="B447" s="42"/>
      <c r="C447" s="42"/>
      <c r="D447" s="7"/>
      <c r="E447" s="7"/>
      <c r="F447" s="7"/>
      <c r="J447" s="34" t="str">
        <f>IF(Inventario!A439="","",Inventario!A439)</f>
        <v/>
      </c>
      <c r="K447" s="35" t="str">
        <f>IF(Inventario!B439="","",Inventario!B439)</f>
        <v/>
      </c>
      <c r="W447" s="31"/>
    </row>
    <row r="448" spans="2:23" ht="15.75" thickBot="1" x14ac:dyDescent="0.3">
      <c r="B448" s="42"/>
      <c r="C448" s="42"/>
      <c r="D448" s="7"/>
      <c r="E448" s="7"/>
      <c r="F448" s="7"/>
      <c r="J448" s="34" t="str">
        <f>IF(Inventario!A440="","",Inventario!A440)</f>
        <v/>
      </c>
      <c r="K448" s="35" t="str">
        <f>IF(Inventario!B440="","",Inventario!B440)</f>
        <v/>
      </c>
      <c r="W448" s="31"/>
    </row>
    <row r="449" spans="2:23" ht="15.75" thickBot="1" x14ac:dyDescent="0.3">
      <c r="B449" s="42"/>
      <c r="C449" s="42"/>
      <c r="D449" s="7"/>
      <c r="E449" s="7"/>
      <c r="F449" s="7"/>
      <c r="J449" s="34" t="str">
        <f>IF(Inventario!A441="","",Inventario!A441)</f>
        <v/>
      </c>
      <c r="K449" s="35" t="str">
        <f>IF(Inventario!B441="","",Inventario!B441)</f>
        <v/>
      </c>
      <c r="W449" s="31"/>
    </row>
    <row r="450" spans="2:23" ht="15.75" thickBot="1" x14ac:dyDescent="0.3">
      <c r="B450" s="42"/>
      <c r="C450" s="42"/>
      <c r="D450" s="7"/>
      <c r="E450" s="7"/>
      <c r="F450" s="7"/>
      <c r="J450" s="34" t="str">
        <f>IF(Inventario!A442="","",Inventario!A442)</f>
        <v/>
      </c>
      <c r="K450" s="35" t="str">
        <f>IF(Inventario!B442="","",Inventario!B442)</f>
        <v/>
      </c>
      <c r="W450" s="31"/>
    </row>
    <row r="451" spans="2:23" ht="15.75" thickBot="1" x14ac:dyDescent="0.3">
      <c r="B451" s="42"/>
      <c r="C451" s="42"/>
      <c r="D451" s="7"/>
      <c r="E451" s="7"/>
      <c r="F451" s="7"/>
      <c r="J451" s="34" t="str">
        <f>IF(Inventario!A443="","",Inventario!A443)</f>
        <v/>
      </c>
      <c r="K451" s="35" t="str">
        <f>IF(Inventario!B443="","",Inventario!B443)</f>
        <v/>
      </c>
      <c r="W451" s="31"/>
    </row>
    <row r="452" spans="2:23" ht="15.75" thickBot="1" x14ac:dyDescent="0.3">
      <c r="B452" s="42"/>
      <c r="C452" s="42"/>
      <c r="D452" s="7"/>
      <c r="E452" s="7"/>
      <c r="F452" s="7"/>
      <c r="J452" s="34" t="str">
        <f>IF(Inventario!A444="","",Inventario!A444)</f>
        <v/>
      </c>
      <c r="K452" s="35" t="str">
        <f>IF(Inventario!B444="","",Inventario!B444)</f>
        <v/>
      </c>
      <c r="W452" s="31"/>
    </row>
    <row r="453" spans="2:23" ht="15.75" thickBot="1" x14ac:dyDescent="0.3">
      <c r="B453" s="42"/>
      <c r="C453" s="42"/>
      <c r="D453" s="7"/>
      <c r="E453" s="7"/>
      <c r="F453" s="7"/>
      <c r="J453" s="34" t="str">
        <f>IF(Inventario!A445="","",Inventario!A445)</f>
        <v/>
      </c>
      <c r="K453" s="35" t="str">
        <f>IF(Inventario!B445="","",Inventario!B445)</f>
        <v/>
      </c>
      <c r="W453" s="31"/>
    </row>
    <row r="454" spans="2:23" ht="15.75" thickBot="1" x14ac:dyDescent="0.3">
      <c r="B454" s="42"/>
      <c r="C454" s="42"/>
      <c r="D454" s="7"/>
      <c r="E454" s="7"/>
      <c r="F454" s="7"/>
      <c r="J454" s="34" t="str">
        <f>IF(Inventario!A446="","",Inventario!A446)</f>
        <v/>
      </c>
      <c r="K454" s="35" t="str">
        <f>IF(Inventario!B446="","",Inventario!B446)</f>
        <v/>
      </c>
      <c r="W454" s="31"/>
    </row>
    <row r="455" spans="2:23" ht="15.75" thickBot="1" x14ac:dyDescent="0.3">
      <c r="B455" s="42"/>
      <c r="C455" s="42"/>
      <c r="D455" s="7"/>
      <c r="E455" s="7"/>
      <c r="F455" s="7"/>
      <c r="J455" s="34" t="str">
        <f>IF(Inventario!A447="","",Inventario!A447)</f>
        <v/>
      </c>
      <c r="K455" s="35" t="str">
        <f>IF(Inventario!B447="","",Inventario!B447)</f>
        <v/>
      </c>
      <c r="W455" s="31"/>
    </row>
    <row r="456" spans="2:23" ht="15.75" thickBot="1" x14ac:dyDescent="0.3">
      <c r="B456" s="42"/>
      <c r="C456" s="42"/>
      <c r="D456" s="7"/>
      <c r="E456" s="7"/>
      <c r="F456" s="7"/>
      <c r="J456" s="34" t="str">
        <f>IF(Inventario!A448="","",Inventario!A448)</f>
        <v/>
      </c>
      <c r="K456" s="35" t="str">
        <f>IF(Inventario!B448="","",Inventario!B448)</f>
        <v/>
      </c>
      <c r="W456" s="31"/>
    </row>
    <row r="457" spans="2:23" ht="15.75" thickBot="1" x14ac:dyDescent="0.3">
      <c r="B457" s="42"/>
      <c r="C457" s="42"/>
      <c r="D457" s="7"/>
      <c r="E457" s="7"/>
      <c r="F457" s="7"/>
      <c r="J457" s="34" t="str">
        <f>IF(Inventario!A449="","",Inventario!A449)</f>
        <v/>
      </c>
      <c r="K457" s="35" t="str">
        <f>IF(Inventario!B449="","",Inventario!B449)</f>
        <v/>
      </c>
      <c r="W457" s="31"/>
    </row>
    <row r="458" spans="2:23" ht="15.75" thickBot="1" x14ac:dyDescent="0.3">
      <c r="B458" s="42"/>
      <c r="C458" s="42"/>
      <c r="D458" s="7"/>
      <c r="E458" s="7"/>
      <c r="F458" s="7"/>
      <c r="J458" s="34" t="str">
        <f>IF(Inventario!A450="","",Inventario!A450)</f>
        <v/>
      </c>
      <c r="K458" s="35" t="str">
        <f>IF(Inventario!B450="","",Inventario!B450)</f>
        <v/>
      </c>
      <c r="W458" s="31"/>
    </row>
    <row r="459" spans="2:23" ht="15.75" thickBot="1" x14ac:dyDescent="0.3">
      <c r="B459" s="42"/>
      <c r="C459" s="42"/>
      <c r="D459" s="7"/>
      <c r="E459" s="7"/>
      <c r="F459" s="7"/>
      <c r="J459" s="34" t="str">
        <f>IF(Inventario!A451="","",Inventario!A451)</f>
        <v/>
      </c>
      <c r="K459" s="35" t="str">
        <f>IF(Inventario!B451="","",Inventario!B451)</f>
        <v/>
      </c>
      <c r="W459" s="31"/>
    </row>
    <row r="460" spans="2:23" ht="15.75" thickBot="1" x14ac:dyDescent="0.3">
      <c r="B460" s="42"/>
      <c r="C460" s="42"/>
      <c r="D460" s="7"/>
      <c r="E460" s="7"/>
      <c r="F460" s="7"/>
      <c r="J460" s="34" t="str">
        <f>IF(Inventario!A452="","",Inventario!A452)</f>
        <v/>
      </c>
      <c r="K460" s="35" t="str">
        <f>IF(Inventario!B452="","",Inventario!B452)</f>
        <v/>
      </c>
      <c r="W460" s="31"/>
    </row>
    <row r="461" spans="2:23" ht="15.75" thickBot="1" x14ac:dyDescent="0.3">
      <c r="B461" s="42"/>
      <c r="C461" s="42"/>
      <c r="D461" s="7"/>
      <c r="E461" s="7"/>
      <c r="F461" s="7"/>
      <c r="J461" s="34" t="str">
        <f>IF(Inventario!A453="","",Inventario!A453)</f>
        <v/>
      </c>
      <c r="K461" s="35" t="str">
        <f>IF(Inventario!B453="","",Inventario!B453)</f>
        <v/>
      </c>
      <c r="W461" s="31"/>
    </row>
    <row r="462" spans="2:23" ht="15.75" thickBot="1" x14ac:dyDescent="0.3">
      <c r="B462" s="42"/>
      <c r="C462" s="42"/>
      <c r="D462" s="7"/>
      <c r="E462" s="7"/>
      <c r="F462" s="7"/>
      <c r="J462" s="34" t="str">
        <f>IF(Inventario!A454="","",Inventario!A454)</f>
        <v/>
      </c>
      <c r="K462" s="35" t="str">
        <f>IF(Inventario!B454="","",Inventario!B454)</f>
        <v/>
      </c>
      <c r="W462" s="31"/>
    </row>
    <row r="463" spans="2:23" ht="15.75" thickBot="1" x14ac:dyDescent="0.3">
      <c r="B463" s="42"/>
      <c r="C463" s="42"/>
      <c r="D463" s="7"/>
      <c r="E463" s="7"/>
      <c r="F463" s="7"/>
      <c r="J463" s="34" t="str">
        <f>IF(Inventario!A455="","",Inventario!A455)</f>
        <v/>
      </c>
      <c r="K463" s="35" t="str">
        <f>IF(Inventario!B455="","",Inventario!B455)</f>
        <v/>
      </c>
      <c r="W463" s="31"/>
    </row>
    <row r="464" spans="2:23" ht="15.75" thickBot="1" x14ac:dyDescent="0.3">
      <c r="B464" s="42"/>
      <c r="C464" s="42"/>
      <c r="D464" s="7"/>
      <c r="E464" s="7"/>
      <c r="F464" s="7"/>
      <c r="J464" s="34" t="str">
        <f>IF(Inventario!A456="","",Inventario!A456)</f>
        <v/>
      </c>
      <c r="K464" s="35" t="str">
        <f>IF(Inventario!B456="","",Inventario!B456)</f>
        <v/>
      </c>
      <c r="W464" s="31"/>
    </row>
    <row r="465" spans="2:23" ht="15.75" thickBot="1" x14ac:dyDescent="0.3">
      <c r="B465" s="42"/>
      <c r="C465" s="42"/>
      <c r="D465" s="7"/>
      <c r="E465" s="7"/>
      <c r="F465" s="7"/>
      <c r="J465" s="34" t="str">
        <f>IF(Inventario!A457="","",Inventario!A457)</f>
        <v/>
      </c>
      <c r="K465" s="35" t="str">
        <f>IF(Inventario!B457="","",Inventario!B457)</f>
        <v/>
      </c>
      <c r="W465" s="31"/>
    </row>
    <row r="466" spans="2:23" ht="15.75" thickBot="1" x14ac:dyDescent="0.3">
      <c r="B466" s="42"/>
      <c r="C466" s="42"/>
      <c r="D466" s="7"/>
      <c r="E466" s="7"/>
      <c r="F466" s="7"/>
      <c r="J466" s="34" t="str">
        <f>IF(Inventario!A458="","",Inventario!A458)</f>
        <v/>
      </c>
      <c r="K466" s="35" t="str">
        <f>IF(Inventario!B458="","",Inventario!B458)</f>
        <v/>
      </c>
      <c r="W466" s="31"/>
    </row>
    <row r="467" spans="2:23" ht="15.75" thickBot="1" x14ac:dyDescent="0.3">
      <c r="B467" s="42"/>
      <c r="C467" s="42"/>
      <c r="D467" s="7"/>
      <c r="E467" s="7"/>
      <c r="F467" s="7"/>
      <c r="J467" s="34" t="str">
        <f>IF(Inventario!A459="","",Inventario!A459)</f>
        <v/>
      </c>
      <c r="K467" s="35" t="str">
        <f>IF(Inventario!B459="","",Inventario!B459)</f>
        <v/>
      </c>
      <c r="W467" s="31"/>
    </row>
    <row r="468" spans="2:23" ht="15.75" thickBot="1" x14ac:dyDescent="0.3">
      <c r="B468" s="42"/>
      <c r="C468" s="42"/>
      <c r="D468" s="7"/>
      <c r="E468" s="7"/>
      <c r="F468" s="7"/>
      <c r="J468" s="34" t="str">
        <f>IF(Inventario!A460="","",Inventario!A460)</f>
        <v/>
      </c>
      <c r="K468" s="35" t="str">
        <f>IF(Inventario!B460="","",Inventario!B460)</f>
        <v/>
      </c>
      <c r="W468" s="31"/>
    </row>
    <row r="469" spans="2:23" ht="15.75" thickBot="1" x14ac:dyDescent="0.3">
      <c r="B469" s="42"/>
      <c r="C469" s="42"/>
      <c r="D469" s="7"/>
      <c r="E469" s="7"/>
      <c r="F469" s="7"/>
      <c r="J469" s="34" t="str">
        <f>IF(Inventario!A461="","",Inventario!A461)</f>
        <v/>
      </c>
      <c r="K469" s="35" t="str">
        <f>IF(Inventario!B461="","",Inventario!B461)</f>
        <v/>
      </c>
      <c r="W469" s="31"/>
    </row>
    <row r="470" spans="2:23" ht="15.75" thickBot="1" x14ac:dyDescent="0.3">
      <c r="B470" s="42"/>
      <c r="C470" s="42"/>
      <c r="D470" s="7"/>
      <c r="E470" s="7"/>
      <c r="F470" s="7"/>
      <c r="J470" s="34" t="str">
        <f>IF(Inventario!A462="","",Inventario!A462)</f>
        <v/>
      </c>
      <c r="K470" s="35" t="str">
        <f>IF(Inventario!B462="","",Inventario!B462)</f>
        <v/>
      </c>
      <c r="W470" s="31"/>
    </row>
    <row r="471" spans="2:23" ht="15.75" thickBot="1" x14ac:dyDescent="0.3">
      <c r="B471" s="42"/>
      <c r="C471" s="42"/>
      <c r="D471" s="7"/>
      <c r="E471" s="7"/>
      <c r="F471" s="7"/>
      <c r="J471" s="34" t="str">
        <f>IF(Inventario!A463="","",Inventario!A463)</f>
        <v/>
      </c>
      <c r="K471" s="35" t="str">
        <f>IF(Inventario!B463="","",Inventario!B463)</f>
        <v/>
      </c>
      <c r="W471" s="31"/>
    </row>
    <row r="472" spans="2:23" ht="15.75" thickBot="1" x14ac:dyDescent="0.3">
      <c r="B472" s="42"/>
      <c r="C472" s="42"/>
      <c r="D472" s="7"/>
      <c r="E472" s="7"/>
      <c r="F472" s="7"/>
      <c r="J472" s="34" t="str">
        <f>IF(Inventario!A464="","",Inventario!A464)</f>
        <v/>
      </c>
      <c r="K472" s="35" t="str">
        <f>IF(Inventario!B464="","",Inventario!B464)</f>
        <v/>
      </c>
      <c r="W472" s="31"/>
    </row>
    <row r="473" spans="2:23" ht="15.75" thickBot="1" x14ac:dyDescent="0.3">
      <c r="B473" s="42"/>
      <c r="C473" s="42"/>
      <c r="D473" s="7"/>
      <c r="E473" s="7"/>
      <c r="F473" s="7"/>
      <c r="J473" s="34" t="str">
        <f>IF(Inventario!A465="","",Inventario!A465)</f>
        <v/>
      </c>
      <c r="K473" s="35" t="str">
        <f>IF(Inventario!B465="","",Inventario!B465)</f>
        <v/>
      </c>
      <c r="W473" s="31"/>
    </row>
    <row r="474" spans="2:23" ht="15.75" thickBot="1" x14ac:dyDescent="0.3">
      <c r="B474" s="42"/>
      <c r="C474" s="42"/>
      <c r="D474" s="7"/>
      <c r="E474" s="7"/>
      <c r="F474" s="7"/>
      <c r="J474" s="34" t="str">
        <f>IF(Inventario!A466="","",Inventario!A466)</f>
        <v/>
      </c>
      <c r="K474" s="35" t="str">
        <f>IF(Inventario!B466="","",Inventario!B466)</f>
        <v/>
      </c>
      <c r="W474" s="31"/>
    </row>
    <row r="475" spans="2:23" ht="15.75" thickBot="1" x14ac:dyDescent="0.3">
      <c r="B475" s="42"/>
      <c r="C475" s="42"/>
      <c r="D475" s="7"/>
      <c r="E475" s="7"/>
      <c r="F475" s="7"/>
      <c r="J475" s="34" t="str">
        <f>IF(Inventario!A467="","",Inventario!A467)</f>
        <v/>
      </c>
      <c r="K475" s="35" t="str">
        <f>IF(Inventario!B467="","",Inventario!B467)</f>
        <v/>
      </c>
      <c r="W475" s="31"/>
    </row>
    <row r="476" spans="2:23" ht="15.75" thickBot="1" x14ac:dyDescent="0.3">
      <c r="B476" s="42"/>
      <c r="C476" s="42"/>
      <c r="D476" s="7"/>
      <c r="E476" s="7"/>
      <c r="F476" s="7"/>
      <c r="J476" s="34" t="str">
        <f>IF(Inventario!A468="","",Inventario!A468)</f>
        <v/>
      </c>
      <c r="K476" s="35" t="str">
        <f>IF(Inventario!B468="","",Inventario!B468)</f>
        <v/>
      </c>
      <c r="W476" s="31"/>
    </row>
    <row r="477" spans="2:23" ht="15.75" thickBot="1" x14ac:dyDescent="0.3">
      <c r="B477" s="42"/>
      <c r="C477" s="42"/>
      <c r="D477" s="7"/>
      <c r="E477" s="7"/>
      <c r="F477" s="7"/>
      <c r="J477" s="34" t="str">
        <f>IF(Inventario!A469="","",Inventario!A469)</f>
        <v/>
      </c>
      <c r="K477" s="35" t="str">
        <f>IF(Inventario!B469="","",Inventario!B469)</f>
        <v/>
      </c>
      <c r="W477" s="31"/>
    </row>
    <row r="478" spans="2:23" ht="15.75" thickBot="1" x14ac:dyDescent="0.3">
      <c r="B478" s="42"/>
      <c r="C478" s="42"/>
      <c r="D478" s="7"/>
      <c r="E478" s="7"/>
      <c r="F478" s="7"/>
      <c r="J478" s="34" t="str">
        <f>IF(Inventario!A470="","",Inventario!A470)</f>
        <v/>
      </c>
      <c r="K478" s="35" t="str">
        <f>IF(Inventario!B470="","",Inventario!B470)</f>
        <v/>
      </c>
      <c r="W478" s="31"/>
    </row>
    <row r="479" spans="2:23" ht="15.75" thickBot="1" x14ac:dyDescent="0.3">
      <c r="B479" s="42"/>
      <c r="C479" s="42"/>
      <c r="D479" s="7"/>
      <c r="E479" s="7"/>
      <c r="F479" s="7"/>
      <c r="J479" s="34" t="str">
        <f>IF(Inventario!A471="","",Inventario!A471)</f>
        <v/>
      </c>
      <c r="K479" s="35" t="str">
        <f>IF(Inventario!B471="","",Inventario!B471)</f>
        <v/>
      </c>
      <c r="W479" s="31"/>
    </row>
    <row r="480" spans="2:23" ht="15.75" thickBot="1" x14ac:dyDescent="0.3">
      <c r="B480" s="42"/>
      <c r="C480" s="42"/>
      <c r="D480" s="7"/>
      <c r="E480" s="7"/>
      <c r="F480" s="7"/>
      <c r="J480" s="34" t="str">
        <f>IF(Inventario!A472="","",Inventario!A472)</f>
        <v/>
      </c>
      <c r="K480" s="35" t="str">
        <f>IF(Inventario!B472="","",Inventario!B472)</f>
        <v/>
      </c>
      <c r="W480" s="31"/>
    </row>
    <row r="481" spans="2:23" ht="15.75" thickBot="1" x14ac:dyDescent="0.3">
      <c r="B481" s="42"/>
      <c r="C481" s="42"/>
      <c r="D481" s="7"/>
      <c r="E481" s="7"/>
      <c r="F481" s="7"/>
      <c r="J481" s="34" t="str">
        <f>IF(Inventario!A473="","",Inventario!A473)</f>
        <v/>
      </c>
      <c r="K481" s="35" t="str">
        <f>IF(Inventario!B473="","",Inventario!B473)</f>
        <v/>
      </c>
      <c r="W481" s="31"/>
    </row>
    <row r="482" spans="2:23" ht="15.75" thickBot="1" x14ac:dyDescent="0.3">
      <c r="B482" s="42"/>
      <c r="C482" s="42"/>
      <c r="D482" s="7"/>
      <c r="E482" s="7"/>
      <c r="F482" s="7"/>
      <c r="J482" s="34" t="str">
        <f>IF(Inventario!A474="","",Inventario!A474)</f>
        <v/>
      </c>
      <c r="K482" s="35" t="str">
        <f>IF(Inventario!B474="","",Inventario!B474)</f>
        <v/>
      </c>
      <c r="W482" s="31"/>
    </row>
    <row r="483" spans="2:23" ht="15.75" thickBot="1" x14ac:dyDescent="0.3">
      <c r="B483" s="42"/>
      <c r="C483" s="42"/>
      <c r="D483" s="7"/>
      <c r="E483" s="7"/>
      <c r="F483" s="7"/>
      <c r="J483" s="34" t="str">
        <f>IF(Inventario!A475="","",Inventario!A475)</f>
        <v/>
      </c>
      <c r="K483" s="35" t="str">
        <f>IF(Inventario!B475="","",Inventario!B475)</f>
        <v/>
      </c>
      <c r="W483" s="31"/>
    </row>
    <row r="484" spans="2:23" ht="15.75" thickBot="1" x14ac:dyDescent="0.3">
      <c r="B484" s="42"/>
      <c r="C484" s="42"/>
      <c r="D484" s="7"/>
      <c r="E484" s="7"/>
      <c r="F484" s="7"/>
      <c r="J484" s="34" t="str">
        <f>IF(Inventario!A476="","",Inventario!A476)</f>
        <v/>
      </c>
      <c r="K484" s="35" t="str">
        <f>IF(Inventario!B476="","",Inventario!B476)</f>
        <v/>
      </c>
      <c r="W484" s="31"/>
    </row>
    <row r="485" spans="2:23" ht="15.75" thickBot="1" x14ac:dyDescent="0.3">
      <c r="B485" s="42"/>
      <c r="C485" s="42"/>
      <c r="D485" s="7"/>
      <c r="E485" s="7"/>
      <c r="F485" s="7"/>
      <c r="J485" s="34" t="str">
        <f>IF(Inventario!A477="","",Inventario!A477)</f>
        <v/>
      </c>
      <c r="K485" s="35" t="str">
        <f>IF(Inventario!B477="","",Inventario!B477)</f>
        <v/>
      </c>
      <c r="W485" s="31"/>
    </row>
    <row r="486" spans="2:23" ht="15.75" thickBot="1" x14ac:dyDescent="0.3">
      <c r="B486" s="42"/>
      <c r="C486" s="42"/>
      <c r="D486" s="7"/>
      <c r="E486" s="7"/>
      <c r="F486" s="7"/>
      <c r="J486" s="34" t="str">
        <f>IF(Inventario!A478="","",Inventario!A478)</f>
        <v/>
      </c>
      <c r="K486" s="35" t="str">
        <f>IF(Inventario!B478="","",Inventario!B478)</f>
        <v/>
      </c>
      <c r="W486" s="31"/>
    </row>
    <row r="487" spans="2:23" ht="15.75" thickBot="1" x14ac:dyDescent="0.3">
      <c r="B487" s="42"/>
      <c r="C487" s="42"/>
      <c r="D487" s="7"/>
      <c r="E487" s="7"/>
      <c r="F487" s="7"/>
      <c r="J487" s="34" t="str">
        <f>IF(Inventario!A479="","",Inventario!A479)</f>
        <v/>
      </c>
      <c r="K487" s="35" t="str">
        <f>IF(Inventario!B479="","",Inventario!B479)</f>
        <v/>
      </c>
      <c r="W487" s="31"/>
    </row>
    <row r="488" spans="2:23" ht="15.75" thickBot="1" x14ac:dyDescent="0.3">
      <c r="B488" s="42"/>
      <c r="C488" s="42"/>
      <c r="D488" s="7"/>
      <c r="E488" s="7"/>
      <c r="F488" s="7"/>
      <c r="J488" s="34" t="str">
        <f>IF(Inventario!A480="","",Inventario!A480)</f>
        <v/>
      </c>
      <c r="K488" s="35" t="str">
        <f>IF(Inventario!B480="","",Inventario!B480)</f>
        <v/>
      </c>
      <c r="W488" s="31"/>
    </row>
    <row r="489" spans="2:23" ht="15.75" thickBot="1" x14ac:dyDescent="0.3">
      <c r="B489" s="42"/>
      <c r="C489" s="42"/>
      <c r="D489" s="7"/>
      <c r="E489" s="7"/>
      <c r="F489" s="7"/>
      <c r="J489" s="34" t="str">
        <f>IF(Inventario!A481="","",Inventario!A481)</f>
        <v/>
      </c>
      <c r="K489" s="35" t="str">
        <f>IF(Inventario!B481="","",Inventario!B481)</f>
        <v/>
      </c>
      <c r="W489" s="31"/>
    </row>
    <row r="490" spans="2:23" ht="15.75" thickBot="1" x14ac:dyDescent="0.3">
      <c r="B490" s="42"/>
      <c r="C490" s="42"/>
      <c r="D490" s="7"/>
      <c r="E490" s="7"/>
      <c r="F490" s="7"/>
      <c r="J490" s="34" t="str">
        <f>IF(Inventario!A482="","",Inventario!A482)</f>
        <v/>
      </c>
      <c r="K490" s="35" t="str">
        <f>IF(Inventario!B482="","",Inventario!B482)</f>
        <v/>
      </c>
      <c r="W490" s="31"/>
    </row>
    <row r="491" spans="2:23" ht="15.75" thickBot="1" x14ac:dyDescent="0.3">
      <c r="B491" s="42"/>
      <c r="C491" s="42"/>
      <c r="D491" s="7"/>
      <c r="E491" s="7"/>
      <c r="F491" s="7"/>
      <c r="J491" s="34" t="str">
        <f>IF(Inventario!A483="","",Inventario!A483)</f>
        <v/>
      </c>
      <c r="K491" s="35" t="str">
        <f>IF(Inventario!B483="","",Inventario!B483)</f>
        <v/>
      </c>
      <c r="W491" s="31"/>
    </row>
    <row r="492" spans="2:23" ht="15.75" thickBot="1" x14ac:dyDescent="0.3">
      <c r="B492" s="42"/>
      <c r="C492" s="42"/>
      <c r="D492" s="7"/>
      <c r="E492" s="7"/>
      <c r="F492" s="7"/>
      <c r="J492" s="34" t="str">
        <f>IF(Inventario!A484="","",Inventario!A484)</f>
        <v/>
      </c>
      <c r="K492" s="35" t="str">
        <f>IF(Inventario!B484="","",Inventario!B484)</f>
        <v/>
      </c>
      <c r="W492" s="31"/>
    </row>
    <row r="493" spans="2:23" ht="15.75" thickBot="1" x14ac:dyDescent="0.3">
      <c r="B493" s="42"/>
      <c r="C493" s="42"/>
      <c r="D493" s="7"/>
      <c r="E493" s="7"/>
      <c r="F493" s="7"/>
      <c r="J493" s="34" t="str">
        <f>IF(Inventario!A485="","",Inventario!A485)</f>
        <v/>
      </c>
      <c r="K493" s="35" t="str">
        <f>IF(Inventario!B485="","",Inventario!B485)</f>
        <v/>
      </c>
      <c r="W493" s="31"/>
    </row>
    <row r="494" spans="2:23" ht="15.75" thickBot="1" x14ac:dyDescent="0.3">
      <c r="B494" s="42"/>
      <c r="C494" s="42"/>
      <c r="D494" s="7"/>
      <c r="E494" s="7"/>
      <c r="F494" s="7"/>
      <c r="J494" s="34" t="str">
        <f>IF(Inventario!A486="","",Inventario!A486)</f>
        <v/>
      </c>
      <c r="K494" s="35" t="str">
        <f>IF(Inventario!B486="","",Inventario!B486)</f>
        <v/>
      </c>
      <c r="W494" s="31"/>
    </row>
    <row r="495" spans="2:23" ht="15.75" thickBot="1" x14ac:dyDescent="0.3">
      <c r="B495" s="42"/>
      <c r="C495" s="42"/>
      <c r="D495" s="7"/>
      <c r="E495" s="7"/>
      <c r="F495" s="7"/>
      <c r="J495" s="34" t="str">
        <f>IF(Inventario!A487="","",Inventario!A487)</f>
        <v/>
      </c>
      <c r="K495" s="35" t="str">
        <f>IF(Inventario!B487="","",Inventario!B487)</f>
        <v/>
      </c>
      <c r="W495" s="31"/>
    </row>
    <row r="496" spans="2:23" ht="15.75" thickBot="1" x14ac:dyDescent="0.3">
      <c r="B496" s="42"/>
      <c r="C496" s="42"/>
      <c r="D496" s="7"/>
      <c r="E496" s="7"/>
      <c r="F496" s="7"/>
      <c r="J496" s="34" t="str">
        <f>IF(Inventario!A488="","",Inventario!A488)</f>
        <v/>
      </c>
      <c r="K496" s="35" t="str">
        <f>IF(Inventario!B488="","",Inventario!B488)</f>
        <v/>
      </c>
      <c r="W496" s="31"/>
    </row>
    <row r="497" spans="2:23" ht="15.75" thickBot="1" x14ac:dyDescent="0.3">
      <c r="B497" s="42"/>
      <c r="C497" s="42"/>
      <c r="D497" s="7"/>
      <c r="E497" s="7"/>
      <c r="F497" s="7"/>
      <c r="J497" s="34" t="str">
        <f>IF(Inventario!A489="","",Inventario!A489)</f>
        <v/>
      </c>
      <c r="K497" s="35" t="str">
        <f>IF(Inventario!B489="","",Inventario!B489)</f>
        <v/>
      </c>
      <c r="W497" s="31"/>
    </row>
    <row r="498" spans="2:23" ht="15.75" thickBot="1" x14ac:dyDescent="0.3">
      <c r="B498" s="42"/>
      <c r="C498" s="42"/>
      <c r="D498" s="7"/>
      <c r="E498" s="7"/>
      <c r="F498" s="7"/>
      <c r="J498" s="34" t="str">
        <f>IF(Inventario!A490="","",Inventario!A490)</f>
        <v/>
      </c>
      <c r="K498" s="35" t="str">
        <f>IF(Inventario!B490="","",Inventario!B490)</f>
        <v/>
      </c>
      <c r="W498" s="31"/>
    </row>
    <row r="499" spans="2:23" ht="15.75" thickBot="1" x14ac:dyDescent="0.3">
      <c r="B499" s="42"/>
      <c r="C499" s="42"/>
      <c r="D499" s="7"/>
      <c r="E499" s="7"/>
      <c r="F499" s="7"/>
      <c r="J499" s="34" t="str">
        <f>IF(Inventario!A491="","",Inventario!A491)</f>
        <v/>
      </c>
      <c r="K499" s="35" t="str">
        <f>IF(Inventario!B491="","",Inventario!B491)</f>
        <v/>
      </c>
      <c r="W499" s="31"/>
    </row>
    <row r="500" spans="2:23" ht="15.75" thickBot="1" x14ac:dyDescent="0.3">
      <c r="B500" s="42"/>
      <c r="C500" s="42"/>
      <c r="D500" s="7"/>
      <c r="E500" s="7"/>
      <c r="F500" s="7"/>
      <c r="J500" s="34" t="str">
        <f>IF(Inventario!A492="","",Inventario!A492)</f>
        <v/>
      </c>
      <c r="K500" s="35" t="str">
        <f>IF(Inventario!B492="","",Inventario!B492)</f>
        <v/>
      </c>
      <c r="W500" s="31"/>
    </row>
    <row r="501" spans="2:23" ht="15.75" thickBot="1" x14ac:dyDescent="0.3">
      <c r="B501" s="42"/>
      <c r="C501" s="42"/>
      <c r="D501" s="7"/>
      <c r="E501" s="7"/>
      <c r="F501" s="7"/>
      <c r="J501" s="34" t="str">
        <f>IF(Inventario!A493="","",Inventario!A493)</f>
        <v/>
      </c>
      <c r="K501" s="35" t="str">
        <f>IF(Inventario!B493="","",Inventario!B493)</f>
        <v/>
      </c>
      <c r="W501" s="31"/>
    </row>
    <row r="502" spans="2:23" ht="15.75" thickBot="1" x14ac:dyDescent="0.3">
      <c r="B502" s="42"/>
      <c r="C502" s="42"/>
      <c r="D502" s="7"/>
      <c r="E502" s="7"/>
      <c r="F502" s="7"/>
      <c r="J502" s="34" t="str">
        <f>IF(Inventario!A494="","",Inventario!A494)</f>
        <v/>
      </c>
      <c r="K502" s="35" t="str">
        <f>IF(Inventario!B494="","",Inventario!B494)</f>
        <v/>
      </c>
      <c r="W502" s="31"/>
    </row>
    <row r="503" spans="2:23" ht="15.75" thickBot="1" x14ac:dyDescent="0.3">
      <c r="B503" s="42"/>
      <c r="C503" s="42"/>
      <c r="D503" s="7"/>
      <c r="E503" s="7"/>
      <c r="F503" s="7"/>
      <c r="J503" s="34" t="str">
        <f>IF(Inventario!A495="","",Inventario!A495)</f>
        <v/>
      </c>
      <c r="K503" s="35" t="str">
        <f>IF(Inventario!B495="","",Inventario!B495)</f>
        <v/>
      </c>
      <c r="W503" s="31"/>
    </row>
    <row r="504" spans="2:23" ht="15.75" thickBot="1" x14ac:dyDescent="0.3">
      <c r="B504" s="42"/>
      <c r="C504" s="42"/>
      <c r="D504" s="7"/>
      <c r="E504" s="7"/>
      <c r="F504" s="7"/>
      <c r="J504" s="34" t="str">
        <f>IF(Inventario!A496="","",Inventario!A496)</f>
        <v/>
      </c>
      <c r="K504" s="35" t="str">
        <f>IF(Inventario!B496="","",Inventario!B496)</f>
        <v/>
      </c>
      <c r="W504" s="31"/>
    </row>
    <row r="505" spans="2:23" ht="15.75" thickBot="1" x14ac:dyDescent="0.3">
      <c r="B505" s="42"/>
      <c r="C505" s="42"/>
      <c r="D505" s="7"/>
      <c r="E505" s="7"/>
      <c r="F505" s="7"/>
      <c r="J505" s="34" t="str">
        <f>IF(Inventario!A497="","",Inventario!A497)</f>
        <v/>
      </c>
      <c r="K505" s="35" t="str">
        <f>IF(Inventario!B497="","",Inventario!B497)</f>
        <v/>
      </c>
      <c r="W505" s="31"/>
    </row>
    <row r="506" spans="2:23" ht="15.75" thickBot="1" x14ac:dyDescent="0.3">
      <c r="B506" s="42"/>
      <c r="C506" s="42"/>
      <c r="D506" s="7"/>
      <c r="E506" s="7"/>
      <c r="F506" s="7"/>
      <c r="J506" s="34" t="str">
        <f>IF(Inventario!A498="","",Inventario!A498)</f>
        <v/>
      </c>
      <c r="K506" s="35" t="str">
        <f>IF(Inventario!B498="","",Inventario!B498)</f>
        <v/>
      </c>
      <c r="W506" s="31"/>
    </row>
    <row r="507" spans="2:23" ht="15.75" thickBot="1" x14ac:dyDescent="0.3">
      <c r="B507" s="42"/>
      <c r="C507" s="42"/>
      <c r="D507" s="7"/>
      <c r="E507" s="7"/>
      <c r="F507" s="7"/>
      <c r="J507" s="34" t="str">
        <f>IF(Inventario!A499="","",Inventario!A499)</f>
        <v/>
      </c>
      <c r="K507" s="35" t="str">
        <f>IF(Inventario!B499="","",Inventario!B499)</f>
        <v/>
      </c>
      <c r="W507" s="31"/>
    </row>
    <row r="508" spans="2:23" ht="15.75" thickBot="1" x14ac:dyDescent="0.3">
      <c r="B508" s="42"/>
      <c r="C508" s="42"/>
      <c r="D508" s="7"/>
      <c r="E508" s="7"/>
      <c r="F508" s="7"/>
      <c r="J508" s="34" t="str">
        <f>IF(Inventario!A500="","",Inventario!A500)</f>
        <v/>
      </c>
      <c r="K508" s="35" t="str">
        <f>IF(Inventario!B500="","",Inventario!B500)</f>
        <v/>
      </c>
      <c r="W508" s="31"/>
    </row>
    <row r="509" spans="2:23" ht="15.75" thickBot="1" x14ac:dyDescent="0.3">
      <c r="B509" s="42"/>
      <c r="C509" s="42"/>
      <c r="D509" s="7"/>
      <c r="E509" s="7"/>
      <c r="F509" s="7"/>
      <c r="J509" s="34" t="str">
        <f>IF(Inventario!A501="","",Inventario!A501)</f>
        <v/>
      </c>
      <c r="K509" s="35" t="str">
        <f>IF(Inventario!B501="","",Inventario!B501)</f>
        <v/>
      </c>
      <c r="W509" s="31"/>
    </row>
    <row r="510" spans="2:23" ht="15.75" thickBot="1" x14ac:dyDescent="0.3">
      <c r="B510" s="42"/>
      <c r="C510" s="42"/>
      <c r="D510" s="7"/>
      <c r="E510" s="7"/>
      <c r="F510" s="7"/>
      <c r="J510" s="34" t="str">
        <f>IF(Inventario!A502="","",Inventario!A502)</f>
        <v/>
      </c>
      <c r="K510" s="35" t="str">
        <f>IF(Inventario!B502="","",Inventario!B502)</f>
        <v/>
      </c>
      <c r="W510" s="31"/>
    </row>
    <row r="511" spans="2:23" ht="15.75" thickBot="1" x14ac:dyDescent="0.3">
      <c r="B511" s="42"/>
      <c r="C511" s="42"/>
      <c r="D511" s="7"/>
      <c r="E511" s="7"/>
      <c r="F511" s="7"/>
      <c r="J511" s="34" t="str">
        <f>IF(Inventario!A503="","",Inventario!A503)</f>
        <v/>
      </c>
      <c r="K511" s="35" t="str">
        <f>IF(Inventario!B503="","",Inventario!B503)</f>
        <v/>
      </c>
      <c r="W511" s="31"/>
    </row>
    <row r="512" spans="2:23" ht="15.75" thickBot="1" x14ac:dyDescent="0.3">
      <c r="B512" s="42"/>
      <c r="C512" s="42"/>
      <c r="D512" s="7"/>
      <c r="E512" s="7"/>
      <c r="F512" s="7"/>
      <c r="J512" s="34" t="str">
        <f>IF(Inventario!A504="","",Inventario!A504)</f>
        <v/>
      </c>
      <c r="K512" s="35" t="str">
        <f>IF(Inventario!B504="","",Inventario!B504)</f>
        <v/>
      </c>
      <c r="W512" s="31"/>
    </row>
    <row r="513" spans="2:23" ht="15.75" thickBot="1" x14ac:dyDescent="0.3">
      <c r="B513" s="42"/>
      <c r="C513" s="42"/>
      <c r="D513" s="7"/>
      <c r="E513" s="7"/>
      <c r="F513" s="7"/>
      <c r="J513" s="34" t="str">
        <f>IF(Inventario!A505="","",Inventario!A505)</f>
        <v/>
      </c>
      <c r="K513" s="35" t="str">
        <f>IF(Inventario!B505="","",Inventario!B505)</f>
        <v/>
      </c>
      <c r="W513" s="31"/>
    </row>
    <row r="514" spans="2:23" ht="15.75" thickBot="1" x14ac:dyDescent="0.3">
      <c r="B514" s="42"/>
      <c r="C514" s="42"/>
      <c r="D514" s="7"/>
      <c r="E514" s="7"/>
      <c r="F514" s="7"/>
      <c r="J514" s="34" t="str">
        <f>IF(Inventario!A506="","",Inventario!A506)</f>
        <v/>
      </c>
      <c r="K514" s="35" t="str">
        <f>IF(Inventario!B506="","",Inventario!B506)</f>
        <v/>
      </c>
      <c r="W514" s="31"/>
    </row>
    <row r="515" spans="2:23" ht="15.75" thickBot="1" x14ac:dyDescent="0.3">
      <c r="B515" s="42"/>
      <c r="C515" s="42"/>
      <c r="D515" s="7"/>
      <c r="E515" s="7"/>
      <c r="F515" s="7"/>
      <c r="J515" s="34" t="str">
        <f>IF(Inventario!A507="","",Inventario!A507)</f>
        <v/>
      </c>
      <c r="K515" s="35" t="str">
        <f>IF(Inventario!B507="","",Inventario!B507)</f>
        <v/>
      </c>
      <c r="W515" s="31"/>
    </row>
    <row r="516" spans="2:23" ht="15.75" thickBot="1" x14ac:dyDescent="0.3">
      <c r="B516" s="42"/>
      <c r="C516" s="42"/>
      <c r="D516" s="7"/>
      <c r="E516" s="7"/>
      <c r="F516" s="7"/>
      <c r="J516" s="34" t="str">
        <f>IF(Inventario!A508="","",Inventario!A508)</f>
        <v/>
      </c>
      <c r="K516" s="35" t="str">
        <f>IF(Inventario!B508="","",Inventario!B508)</f>
        <v/>
      </c>
      <c r="W516" s="31"/>
    </row>
    <row r="517" spans="2:23" ht="15.75" thickBot="1" x14ac:dyDescent="0.3">
      <c r="B517" s="42"/>
      <c r="C517" s="42"/>
      <c r="D517" s="7"/>
      <c r="E517" s="7"/>
      <c r="F517" s="7"/>
      <c r="J517" s="34" t="str">
        <f>IF(Inventario!A509="","",Inventario!A509)</f>
        <v/>
      </c>
      <c r="K517" s="35" t="str">
        <f>IF(Inventario!B509="","",Inventario!B509)</f>
        <v/>
      </c>
      <c r="W517" s="31"/>
    </row>
    <row r="518" spans="2:23" ht="15.75" thickBot="1" x14ac:dyDescent="0.3">
      <c r="B518" s="42"/>
      <c r="C518" s="42"/>
      <c r="D518" s="7"/>
      <c r="E518" s="7"/>
      <c r="F518" s="7"/>
      <c r="J518" s="34" t="str">
        <f>IF(Inventario!A510="","",Inventario!A510)</f>
        <v/>
      </c>
      <c r="K518" s="35" t="str">
        <f>IF(Inventario!B510="","",Inventario!B510)</f>
        <v/>
      </c>
      <c r="W518" s="31"/>
    </row>
    <row r="519" spans="2:23" ht="15.75" thickBot="1" x14ac:dyDescent="0.3">
      <c r="B519" s="42"/>
      <c r="C519" s="42"/>
      <c r="D519" s="7"/>
      <c r="E519" s="7"/>
      <c r="F519" s="7"/>
      <c r="J519" s="34" t="str">
        <f>IF(Inventario!A511="","",Inventario!A511)</f>
        <v/>
      </c>
      <c r="K519" s="35" t="str">
        <f>IF(Inventario!B511="","",Inventario!B511)</f>
        <v/>
      </c>
      <c r="W519" s="31"/>
    </row>
    <row r="520" spans="2:23" ht="15.75" thickBot="1" x14ac:dyDescent="0.3">
      <c r="B520" s="42"/>
      <c r="C520" s="42"/>
      <c r="D520" s="7"/>
      <c r="E520" s="7"/>
      <c r="F520" s="7"/>
      <c r="J520" s="34" t="str">
        <f>IF(Inventario!A512="","",Inventario!A512)</f>
        <v/>
      </c>
      <c r="K520" s="35" t="str">
        <f>IF(Inventario!B512="","",Inventario!B512)</f>
        <v/>
      </c>
      <c r="W520" s="31"/>
    </row>
    <row r="521" spans="2:23" ht="15.75" thickBot="1" x14ac:dyDescent="0.3">
      <c r="B521" s="42"/>
      <c r="C521" s="42"/>
      <c r="D521" s="7"/>
      <c r="E521" s="7"/>
      <c r="F521" s="7"/>
      <c r="J521" s="34" t="str">
        <f>IF(Inventario!A513="","",Inventario!A513)</f>
        <v/>
      </c>
      <c r="K521" s="35" t="str">
        <f>IF(Inventario!B513="","",Inventario!B513)</f>
        <v/>
      </c>
      <c r="W521" s="31"/>
    </row>
    <row r="522" spans="2:23" ht="15.75" thickBot="1" x14ac:dyDescent="0.3">
      <c r="B522" s="42"/>
      <c r="C522" s="42"/>
      <c r="D522" s="7"/>
      <c r="E522" s="7"/>
      <c r="F522" s="7"/>
      <c r="J522" s="34" t="str">
        <f>IF(Inventario!A514="","",Inventario!A514)</f>
        <v/>
      </c>
      <c r="K522" s="35" t="str">
        <f>IF(Inventario!B514="","",Inventario!B514)</f>
        <v/>
      </c>
      <c r="W522" s="31"/>
    </row>
    <row r="523" spans="2:23" ht="15.75" thickBot="1" x14ac:dyDescent="0.3">
      <c r="B523" s="42"/>
      <c r="C523" s="42"/>
      <c r="D523" s="7"/>
      <c r="E523" s="7"/>
      <c r="F523" s="7"/>
      <c r="J523" s="34" t="str">
        <f>IF(Inventario!A515="","",Inventario!A515)</f>
        <v/>
      </c>
      <c r="K523" s="35" t="str">
        <f>IF(Inventario!B515="","",Inventario!B515)</f>
        <v/>
      </c>
      <c r="W523" s="31"/>
    </row>
    <row r="524" spans="2:23" ht="15.75" thickBot="1" x14ac:dyDescent="0.3">
      <c r="B524" s="42"/>
      <c r="C524" s="42"/>
      <c r="D524" s="7"/>
      <c r="E524" s="7"/>
      <c r="F524" s="7"/>
      <c r="J524" s="34" t="str">
        <f>IF(Inventario!A516="","",Inventario!A516)</f>
        <v/>
      </c>
      <c r="K524" s="35" t="str">
        <f>IF(Inventario!B516="","",Inventario!B516)</f>
        <v/>
      </c>
      <c r="W524" s="31"/>
    </row>
    <row r="525" spans="2:23" ht="15.75" thickBot="1" x14ac:dyDescent="0.3">
      <c r="B525" s="42"/>
      <c r="C525" s="42"/>
      <c r="D525" s="7"/>
      <c r="E525" s="7"/>
      <c r="F525" s="7"/>
      <c r="J525" s="34" t="str">
        <f>IF(Inventario!A517="","",Inventario!A517)</f>
        <v/>
      </c>
      <c r="K525" s="35" t="str">
        <f>IF(Inventario!B517="","",Inventario!B517)</f>
        <v/>
      </c>
      <c r="W525" s="31"/>
    </row>
    <row r="526" spans="2:23" ht="15.75" thickBot="1" x14ac:dyDescent="0.3">
      <c r="B526" s="42"/>
      <c r="C526" s="42"/>
      <c r="D526" s="7"/>
      <c r="E526" s="7"/>
      <c r="F526" s="7"/>
      <c r="J526" s="34" t="str">
        <f>IF(Inventario!A518="","",Inventario!A518)</f>
        <v/>
      </c>
      <c r="K526" s="35" t="str">
        <f>IF(Inventario!B518="","",Inventario!B518)</f>
        <v/>
      </c>
      <c r="W526" s="31"/>
    </row>
    <row r="527" spans="2:23" ht="15.75" thickBot="1" x14ac:dyDescent="0.3">
      <c r="B527" s="42"/>
      <c r="C527" s="42"/>
      <c r="D527" s="7"/>
      <c r="E527" s="7"/>
      <c r="F527" s="7"/>
      <c r="J527" s="34" t="str">
        <f>IF(Inventario!A519="","",Inventario!A519)</f>
        <v/>
      </c>
      <c r="K527" s="35" t="str">
        <f>IF(Inventario!B519="","",Inventario!B519)</f>
        <v/>
      </c>
      <c r="W527" s="31"/>
    </row>
    <row r="528" spans="2:23" ht="15.75" thickBot="1" x14ac:dyDescent="0.3">
      <c r="B528" s="42"/>
      <c r="C528" s="42"/>
      <c r="D528" s="7"/>
      <c r="E528" s="7"/>
      <c r="F528" s="7"/>
      <c r="J528" s="34" t="str">
        <f>IF(Inventario!A520="","",Inventario!A520)</f>
        <v/>
      </c>
      <c r="K528" s="35" t="str">
        <f>IF(Inventario!B520="","",Inventario!B520)</f>
        <v/>
      </c>
      <c r="W528" s="31"/>
    </row>
    <row r="529" spans="2:23" ht="15.75" thickBot="1" x14ac:dyDescent="0.3">
      <c r="B529" s="42"/>
      <c r="C529" s="42"/>
      <c r="D529" s="7"/>
      <c r="E529" s="7"/>
      <c r="F529" s="7"/>
      <c r="J529" s="34" t="str">
        <f>IF(Inventario!A521="","",Inventario!A521)</f>
        <v/>
      </c>
      <c r="K529" s="35" t="str">
        <f>IF(Inventario!B521="","",Inventario!B521)</f>
        <v/>
      </c>
      <c r="W529" s="31"/>
    </row>
    <row r="530" spans="2:23" ht="15.75" thickBot="1" x14ac:dyDescent="0.3">
      <c r="B530" s="42"/>
      <c r="C530" s="42"/>
      <c r="D530" s="7"/>
      <c r="E530" s="7"/>
      <c r="F530" s="7"/>
      <c r="J530" s="34" t="str">
        <f>IF(Inventario!A522="","",Inventario!A522)</f>
        <v/>
      </c>
      <c r="K530" s="35" t="str">
        <f>IF(Inventario!B522="","",Inventario!B522)</f>
        <v/>
      </c>
      <c r="W530" s="31"/>
    </row>
    <row r="531" spans="2:23" ht="15.75" thickBot="1" x14ac:dyDescent="0.3">
      <c r="B531" s="42"/>
      <c r="C531" s="42"/>
      <c r="D531" s="7"/>
      <c r="E531" s="7"/>
      <c r="F531" s="7"/>
      <c r="J531" s="34" t="str">
        <f>IF(Inventario!A523="","",Inventario!A523)</f>
        <v/>
      </c>
      <c r="K531" s="35" t="str">
        <f>IF(Inventario!B523="","",Inventario!B523)</f>
        <v/>
      </c>
      <c r="W531" s="31"/>
    </row>
    <row r="532" spans="2:23" ht="15.75" thickBot="1" x14ac:dyDescent="0.3">
      <c r="B532" s="42"/>
      <c r="C532" s="42"/>
      <c r="D532" s="7"/>
      <c r="E532" s="7"/>
      <c r="F532" s="7"/>
      <c r="J532" s="34" t="str">
        <f>IF(Inventario!A524="","",Inventario!A524)</f>
        <v/>
      </c>
      <c r="K532" s="35" t="str">
        <f>IF(Inventario!B524="","",Inventario!B524)</f>
        <v/>
      </c>
      <c r="W532" s="31"/>
    </row>
    <row r="533" spans="2:23" ht="15.75" thickBot="1" x14ac:dyDescent="0.3">
      <c r="B533" s="42"/>
      <c r="C533" s="42"/>
      <c r="D533" s="7"/>
      <c r="E533" s="7"/>
      <c r="F533" s="7"/>
      <c r="J533" s="34" t="str">
        <f>IF(Inventario!A525="","",Inventario!A525)</f>
        <v/>
      </c>
      <c r="K533" s="35" t="str">
        <f>IF(Inventario!B525="","",Inventario!B525)</f>
        <v/>
      </c>
      <c r="W533" s="31"/>
    </row>
    <row r="534" spans="2:23" ht="15.75" thickBot="1" x14ac:dyDescent="0.3">
      <c r="B534" s="42"/>
      <c r="C534" s="42"/>
      <c r="D534" s="7"/>
      <c r="E534" s="7"/>
      <c r="F534" s="7"/>
      <c r="J534" s="34" t="str">
        <f>IF(Inventario!A526="","",Inventario!A526)</f>
        <v/>
      </c>
      <c r="K534" s="35" t="str">
        <f>IF(Inventario!B526="","",Inventario!B526)</f>
        <v/>
      </c>
      <c r="W534" s="31"/>
    </row>
    <row r="535" spans="2:23" ht="15.75" thickBot="1" x14ac:dyDescent="0.3">
      <c r="B535" s="42"/>
      <c r="C535" s="42"/>
      <c r="D535" s="7"/>
      <c r="E535" s="7"/>
      <c r="F535" s="7"/>
      <c r="J535" s="34" t="str">
        <f>IF(Inventario!A527="","",Inventario!A527)</f>
        <v/>
      </c>
      <c r="K535" s="35" t="str">
        <f>IF(Inventario!B527="","",Inventario!B527)</f>
        <v/>
      </c>
      <c r="W535" s="31"/>
    </row>
    <row r="536" spans="2:23" ht="15.75" thickBot="1" x14ac:dyDescent="0.3">
      <c r="B536" s="42"/>
      <c r="C536" s="42"/>
      <c r="D536" s="7"/>
      <c r="E536" s="7"/>
      <c r="F536" s="7"/>
      <c r="J536" s="34" t="str">
        <f>IF(Inventario!A528="","",Inventario!A528)</f>
        <v/>
      </c>
      <c r="K536" s="35" t="str">
        <f>IF(Inventario!B528="","",Inventario!B528)</f>
        <v/>
      </c>
      <c r="W536" s="31"/>
    </row>
    <row r="537" spans="2:23" ht="15.75" thickBot="1" x14ac:dyDescent="0.3">
      <c r="B537" s="42"/>
      <c r="C537" s="42"/>
      <c r="D537" s="7"/>
      <c r="E537" s="7"/>
      <c r="F537" s="7"/>
      <c r="J537" s="34" t="str">
        <f>IF(Inventario!A529="","",Inventario!A529)</f>
        <v/>
      </c>
      <c r="K537" s="35" t="str">
        <f>IF(Inventario!B529="","",Inventario!B529)</f>
        <v/>
      </c>
      <c r="W537" s="31"/>
    </row>
    <row r="538" spans="2:23" ht="15.75" thickBot="1" x14ac:dyDescent="0.3">
      <c r="B538" s="42"/>
      <c r="C538" s="42"/>
      <c r="D538" s="7"/>
      <c r="E538" s="7"/>
      <c r="F538" s="7"/>
      <c r="J538" s="34" t="str">
        <f>IF(Inventario!A530="","",Inventario!A530)</f>
        <v/>
      </c>
      <c r="K538" s="35" t="str">
        <f>IF(Inventario!B530="","",Inventario!B530)</f>
        <v/>
      </c>
      <c r="W538" s="31"/>
    </row>
    <row r="539" spans="2:23" ht="15.75" thickBot="1" x14ac:dyDescent="0.3">
      <c r="B539" s="42"/>
      <c r="C539" s="42"/>
      <c r="D539" s="7"/>
      <c r="E539" s="7"/>
      <c r="F539" s="7"/>
      <c r="J539" s="34" t="str">
        <f>IF(Inventario!A531="","",Inventario!A531)</f>
        <v/>
      </c>
      <c r="K539" s="35" t="str">
        <f>IF(Inventario!B531="","",Inventario!B531)</f>
        <v/>
      </c>
      <c r="W539" s="31"/>
    </row>
    <row r="540" spans="2:23" ht="15.75" thickBot="1" x14ac:dyDescent="0.3">
      <c r="B540" s="42"/>
      <c r="C540" s="42"/>
      <c r="D540" s="7"/>
      <c r="E540" s="7"/>
      <c r="F540" s="7"/>
      <c r="J540" s="34" t="str">
        <f>IF(Inventario!A532="","",Inventario!A532)</f>
        <v/>
      </c>
      <c r="K540" s="35" t="str">
        <f>IF(Inventario!B532="","",Inventario!B532)</f>
        <v/>
      </c>
      <c r="W540" s="31"/>
    </row>
    <row r="541" spans="2:23" ht="15.75" thickBot="1" x14ac:dyDescent="0.3">
      <c r="B541" s="42"/>
      <c r="C541" s="42"/>
      <c r="D541" s="7"/>
      <c r="E541" s="7"/>
      <c r="F541" s="7"/>
      <c r="J541" s="34" t="str">
        <f>IF(Inventario!A533="","",Inventario!A533)</f>
        <v/>
      </c>
      <c r="K541" s="35" t="str">
        <f>IF(Inventario!B533="","",Inventario!B533)</f>
        <v/>
      </c>
      <c r="W541" s="31"/>
    </row>
    <row r="542" spans="2:23" ht="15.75" thickBot="1" x14ac:dyDescent="0.3">
      <c r="B542" s="42"/>
      <c r="C542" s="42"/>
      <c r="D542" s="7"/>
      <c r="E542" s="7"/>
      <c r="F542" s="7"/>
      <c r="J542" s="34" t="str">
        <f>IF(Inventario!A534="","",Inventario!A534)</f>
        <v/>
      </c>
      <c r="K542" s="35" t="str">
        <f>IF(Inventario!B534="","",Inventario!B534)</f>
        <v/>
      </c>
      <c r="W542" s="31"/>
    </row>
    <row r="543" spans="2:23" ht="15.75" thickBot="1" x14ac:dyDescent="0.3">
      <c r="B543" s="42"/>
      <c r="C543" s="42"/>
      <c r="D543" s="7"/>
      <c r="E543" s="7"/>
      <c r="F543" s="7"/>
      <c r="J543" s="34" t="str">
        <f>IF(Inventario!A535="","",Inventario!A535)</f>
        <v/>
      </c>
      <c r="K543" s="35" t="str">
        <f>IF(Inventario!B535="","",Inventario!B535)</f>
        <v/>
      </c>
      <c r="W543" s="31"/>
    </row>
    <row r="544" spans="2:23" ht="15.75" thickBot="1" x14ac:dyDescent="0.3">
      <c r="B544" s="42"/>
      <c r="C544" s="42"/>
      <c r="D544" s="7"/>
      <c r="E544" s="7"/>
      <c r="F544" s="7"/>
      <c r="J544" s="34" t="str">
        <f>IF(Inventario!A536="","",Inventario!A536)</f>
        <v/>
      </c>
      <c r="K544" s="35" t="str">
        <f>IF(Inventario!B536="","",Inventario!B536)</f>
        <v/>
      </c>
      <c r="W544" s="31"/>
    </row>
    <row r="545" spans="2:23" ht="15.75" thickBot="1" x14ac:dyDescent="0.3">
      <c r="B545" s="42"/>
      <c r="C545" s="42"/>
      <c r="D545" s="7"/>
      <c r="E545" s="7"/>
      <c r="F545" s="7"/>
      <c r="J545" s="34" t="str">
        <f>IF(Inventario!A537="","",Inventario!A537)</f>
        <v/>
      </c>
      <c r="K545" s="35" t="str">
        <f>IF(Inventario!B537="","",Inventario!B537)</f>
        <v/>
      </c>
      <c r="W545" s="31"/>
    </row>
    <row r="546" spans="2:23" ht="15.75" thickBot="1" x14ac:dyDescent="0.3">
      <c r="B546" s="42"/>
      <c r="C546" s="42"/>
      <c r="D546" s="7"/>
      <c r="E546" s="7"/>
      <c r="F546" s="7"/>
      <c r="J546" s="34" t="str">
        <f>IF(Inventario!A538="","",Inventario!A538)</f>
        <v/>
      </c>
      <c r="K546" s="35" t="str">
        <f>IF(Inventario!B538="","",Inventario!B538)</f>
        <v/>
      </c>
      <c r="W546" s="31"/>
    </row>
    <row r="547" spans="2:23" ht="15.75" thickBot="1" x14ac:dyDescent="0.3">
      <c r="B547" s="42"/>
      <c r="C547" s="42"/>
      <c r="D547" s="7"/>
      <c r="E547" s="7"/>
      <c r="F547" s="7"/>
      <c r="J547" s="34" t="str">
        <f>IF(Inventario!A539="","",Inventario!A539)</f>
        <v/>
      </c>
      <c r="K547" s="35" t="str">
        <f>IF(Inventario!B539="","",Inventario!B539)</f>
        <v/>
      </c>
      <c r="W547" s="31"/>
    </row>
    <row r="548" spans="2:23" ht="15.75" thickBot="1" x14ac:dyDescent="0.3">
      <c r="B548" s="42"/>
      <c r="C548" s="42"/>
      <c r="D548" s="7"/>
      <c r="E548" s="7"/>
      <c r="F548" s="7"/>
      <c r="J548" s="34" t="str">
        <f>IF(Inventario!A540="","",Inventario!A540)</f>
        <v/>
      </c>
      <c r="K548" s="35" t="str">
        <f>IF(Inventario!B540="","",Inventario!B540)</f>
        <v/>
      </c>
      <c r="W548" s="31"/>
    </row>
    <row r="549" spans="2:23" ht="15.75" thickBot="1" x14ac:dyDescent="0.3">
      <c r="B549" s="42"/>
      <c r="C549" s="42"/>
      <c r="D549" s="7"/>
      <c r="E549" s="7"/>
      <c r="F549" s="7"/>
      <c r="J549" s="34" t="str">
        <f>IF(Inventario!A541="","",Inventario!A541)</f>
        <v/>
      </c>
      <c r="K549" s="35" t="str">
        <f>IF(Inventario!B541="","",Inventario!B541)</f>
        <v/>
      </c>
      <c r="W549" s="31"/>
    </row>
    <row r="550" spans="2:23" ht="15.75" thickBot="1" x14ac:dyDescent="0.3">
      <c r="B550" s="42"/>
      <c r="C550" s="42"/>
      <c r="D550" s="7"/>
      <c r="E550" s="7"/>
      <c r="F550" s="7"/>
      <c r="J550" s="34" t="str">
        <f>IF(Inventario!A542="","",Inventario!A542)</f>
        <v/>
      </c>
      <c r="K550" s="35" t="str">
        <f>IF(Inventario!B542="","",Inventario!B542)</f>
        <v/>
      </c>
      <c r="W550" s="31"/>
    </row>
    <row r="551" spans="2:23" ht="15.75" thickBot="1" x14ac:dyDescent="0.3">
      <c r="B551" s="42"/>
      <c r="C551" s="42"/>
      <c r="D551" s="7"/>
      <c r="E551" s="7"/>
      <c r="F551" s="7"/>
      <c r="J551" s="34" t="str">
        <f>IF(Inventario!A543="","",Inventario!A543)</f>
        <v/>
      </c>
      <c r="K551" s="35" t="str">
        <f>IF(Inventario!B543="","",Inventario!B543)</f>
        <v/>
      </c>
      <c r="W551" s="31"/>
    </row>
    <row r="552" spans="2:23" ht="15.75" thickBot="1" x14ac:dyDescent="0.3">
      <c r="B552" s="42"/>
      <c r="C552" s="42"/>
      <c r="D552" s="7"/>
      <c r="E552" s="7"/>
      <c r="F552" s="7"/>
      <c r="J552" s="34" t="str">
        <f>IF(Inventario!A544="","",Inventario!A544)</f>
        <v/>
      </c>
      <c r="K552" s="35" t="str">
        <f>IF(Inventario!B544="","",Inventario!B544)</f>
        <v/>
      </c>
      <c r="W552" s="31"/>
    </row>
    <row r="553" spans="2:23" ht="15.75" thickBot="1" x14ac:dyDescent="0.3">
      <c r="B553" s="42"/>
      <c r="C553" s="42"/>
      <c r="D553" s="7"/>
      <c r="E553" s="7"/>
      <c r="F553" s="7"/>
      <c r="J553" s="34" t="str">
        <f>IF(Inventario!A545="","",Inventario!A545)</f>
        <v/>
      </c>
      <c r="K553" s="35" t="str">
        <f>IF(Inventario!B545="","",Inventario!B545)</f>
        <v/>
      </c>
      <c r="W553" s="31"/>
    </row>
    <row r="554" spans="2:23" ht="15.75" thickBot="1" x14ac:dyDescent="0.3">
      <c r="B554" s="42"/>
      <c r="C554" s="42"/>
      <c r="D554" s="7"/>
      <c r="E554" s="7"/>
      <c r="F554" s="7"/>
      <c r="J554" s="34" t="str">
        <f>IF(Inventario!A546="","",Inventario!A546)</f>
        <v/>
      </c>
      <c r="K554" s="35" t="str">
        <f>IF(Inventario!B546="","",Inventario!B546)</f>
        <v/>
      </c>
      <c r="W554" s="31"/>
    </row>
    <row r="555" spans="2:23" ht="15.75" thickBot="1" x14ac:dyDescent="0.3">
      <c r="B555" s="42"/>
      <c r="C555" s="42"/>
      <c r="D555" s="7"/>
      <c r="E555" s="7"/>
      <c r="F555" s="7"/>
      <c r="J555" s="34" t="str">
        <f>IF(Inventario!A547="","",Inventario!A547)</f>
        <v/>
      </c>
      <c r="K555" s="35" t="str">
        <f>IF(Inventario!B547="","",Inventario!B547)</f>
        <v/>
      </c>
      <c r="W555" s="31"/>
    </row>
    <row r="556" spans="2:23" ht="15.75" thickBot="1" x14ac:dyDescent="0.3">
      <c r="B556" s="42"/>
      <c r="C556" s="42"/>
      <c r="D556" s="7"/>
      <c r="E556" s="7"/>
      <c r="F556" s="7"/>
      <c r="J556" s="34" t="str">
        <f>IF(Inventario!A548="","",Inventario!A548)</f>
        <v/>
      </c>
      <c r="K556" s="35" t="str">
        <f>IF(Inventario!B548="","",Inventario!B548)</f>
        <v/>
      </c>
      <c r="W556" s="31"/>
    </row>
    <row r="557" spans="2:23" ht="15.75" thickBot="1" x14ac:dyDescent="0.3">
      <c r="B557" s="42"/>
      <c r="C557" s="42"/>
      <c r="D557" s="7"/>
      <c r="E557" s="7"/>
      <c r="F557" s="7"/>
      <c r="J557" s="34" t="str">
        <f>IF(Inventario!A549="","",Inventario!A549)</f>
        <v/>
      </c>
      <c r="K557" s="35" t="str">
        <f>IF(Inventario!B549="","",Inventario!B549)</f>
        <v/>
      </c>
      <c r="W557" s="31"/>
    </row>
    <row r="558" spans="2:23" ht="15.75" thickBot="1" x14ac:dyDescent="0.3">
      <c r="B558" s="42"/>
      <c r="C558" s="42"/>
      <c r="D558" s="7"/>
      <c r="E558" s="7"/>
      <c r="F558" s="7"/>
      <c r="J558" s="34" t="str">
        <f>IF(Inventario!A550="","",Inventario!A550)</f>
        <v/>
      </c>
      <c r="K558" s="35" t="str">
        <f>IF(Inventario!B550="","",Inventario!B550)</f>
        <v/>
      </c>
      <c r="W558" s="31"/>
    </row>
    <row r="559" spans="2:23" ht="15.75" thickBot="1" x14ac:dyDescent="0.3">
      <c r="B559" s="42"/>
      <c r="C559" s="42"/>
      <c r="D559" s="7"/>
      <c r="E559" s="7"/>
      <c r="F559" s="7"/>
      <c r="J559" s="34" t="str">
        <f>IF(Inventario!A551="","",Inventario!A551)</f>
        <v/>
      </c>
      <c r="K559" s="35" t="str">
        <f>IF(Inventario!B551="","",Inventario!B551)</f>
        <v/>
      </c>
      <c r="W559" s="31"/>
    </row>
    <row r="560" spans="2:23" ht="15.75" thickBot="1" x14ac:dyDescent="0.3">
      <c r="B560" s="42"/>
      <c r="C560" s="42"/>
      <c r="D560" s="7"/>
      <c r="E560" s="7"/>
      <c r="F560" s="7"/>
      <c r="J560" s="34" t="str">
        <f>IF(Inventario!A552="","",Inventario!A552)</f>
        <v/>
      </c>
      <c r="K560" s="35" t="str">
        <f>IF(Inventario!B552="","",Inventario!B552)</f>
        <v/>
      </c>
      <c r="W560" s="31"/>
    </row>
    <row r="561" spans="2:23" ht="15.75" thickBot="1" x14ac:dyDescent="0.3">
      <c r="B561" s="42"/>
      <c r="C561" s="42"/>
      <c r="D561" s="7"/>
      <c r="E561" s="7"/>
      <c r="F561" s="7"/>
      <c r="J561" s="34" t="str">
        <f>IF(Inventario!A553="","",Inventario!A553)</f>
        <v/>
      </c>
      <c r="K561" s="35" t="str">
        <f>IF(Inventario!B553="","",Inventario!B553)</f>
        <v/>
      </c>
      <c r="W561" s="31"/>
    </row>
    <row r="562" spans="2:23" ht="15.75" thickBot="1" x14ac:dyDescent="0.3">
      <c r="B562" s="42"/>
      <c r="C562" s="42"/>
      <c r="D562" s="7"/>
      <c r="E562" s="7"/>
      <c r="F562" s="7"/>
      <c r="J562" s="34" t="str">
        <f>IF(Inventario!A554="","",Inventario!A554)</f>
        <v/>
      </c>
      <c r="K562" s="35" t="str">
        <f>IF(Inventario!B554="","",Inventario!B554)</f>
        <v/>
      </c>
      <c r="W562" s="31"/>
    </row>
    <row r="563" spans="2:23" ht="15.75" thickBot="1" x14ac:dyDescent="0.3">
      <c r="B563" s="42"/>
      <c r="C563" s="42"/>
      <c r="D563" s="7"/>
      <c r="E563" s="7"/>
      <c r="F563" s="7"/>
      <c r="J563" s="34" t="str">
        <f>IF(Inventario!A555="","",Inventario!A555)</f>
        <v/>
      </c>
      <c r="K563" s="35" t="str">
        <f>IF(Inventario!B555="","",Inventario!B555)</f>
        <v/>
      </c>
      <c r="W563" s="31"/>
    </row>
    <row r="564" spans="2:23" ht="15.75" thickBot="1" x14ac:dyDescent="0.3">
      <c r="B564" s="42"/>
      <c r="C564" s="42"/>
      <c r="D564" s="7"/>
      <c r="E564" s="7"/>
      <c r="F564" s="7"/>
      <c r="J564" s="34" t="str">
        <f>IF(Inventario!A556="","",Inventario!A556)</f>
        <v/>
      </c>
      <c r="K564" s="35" t="str">
        <f>IF(Inventario!B556="","",Inventario!B556)</f>
        <v/>
      </c>
      <c r="W564" s="31"/>
    </row>
    <row r="565" spans="2:23" ht="15.75" thickBot="1" x14ac:dyDescent="0.3">
      <c r="B565" s="42"/>
      <c r="C565" s="42"/>
      <c r="D565" s="7"/>
      <c r="E565" s="7"/>
      <c r="F565" s="7"/>
      <c r="J565" s="34" t="str">
        <f>IF(Inventario!A557="","",Inventario!A557)</f>
        <v/>
      </c>
      <c r="K565" s="35" t="str">
        <f>IF(Inventario!B557="","",Inventario!B557)</f>
        <v/>
      </c>
      <c r="W565" s="31"/>
    </row>
    <row r="566" spans="2:23" ht="15.75" thickBot="1" x14ac:dyDescent="0.3">
      <c r="B566" s="42"/>
      <c r="C566" s="42"/>
      <c r="D566" s="7"/>
      <c r="E566" s="7"/>
      <c r="F566" s="7"/>
      <c r="J566" s="34" t="str">
        <f>IF(Inventario!A558="","",Inventario!A558)</f>
        <v/>
      </c>
      <c r="K566" s="35" t="str">
        <f>IF(Inventario!B558="","",Inventario!B558)</f>
        <v/>
      </c>
      <c r="W566" s="31"/>
    </row>
    <row r="567" spans="2:23" ht="15.75" thickBot="1" x14ac:dyDescent="0.3">
      <c r="B567" s="42"/>
      <c r="C567" s="42"/>
      <c r="D567" s="7"/>
      <c r="E567" s="7"/>
      <c r="F567" s="7"/>
      <c r="J567" s="34" t="str">
        <f>IF(Inventario!A559="","",Inventario!A559)</f>
        <v/>
      </c>
      <c r="K567" s="35" t="str">
        <f>IF(Inventario!B559="","",Inventario!B559)</f>
        <v/>
      </c>
      <c r="W567" s="31"/>
    </row>
    <row r="568" spans="2:23" ht="15.75" thickBot="1" x14ac:dyDescent="0.3">
      <c r="B568" s="42"/>
      <c r="C568" s="42"/>
      <c r="D568" s="7"/>
      <c r="E568" s="7"/>
      <c r="F568" s="7"/>
      <c r="J568" s="34" t="str">
        <f>IF(Inventario!A560="","",Inventario!A560)</f>
        <v/>
      </c>
      <c r="K568" s="35" t="str">
        <f>IF(Inventario!B560="","",Inventario!B560)</f>
        <v/>
      </c>
      <c r="W568" s="31"/>
    </row>
    <row r="569" spans="2:23" ht="15.75" thickBot="1" x14ac:dyDescent="0.3">
      <c r="B569" s="42"/>
      <c r="C569" s="42"/>
      <c r="D569" s="7"/>
      <c r="E569" s="7"/>
      <c r="F569" s="7"/>
      <c r="J569" s="34" t="str">
        <f>IF(Inventario!A561="","",Inventario!A561)</f>
        <v/>
      </c>
      <c r="K569" s="35" t="str">
        <f>IF(Inventario!B561="","",Inventario!B561)</f>
        <v/>
      </c>
      <c r="W569" s="31"/>
    </row>
    <row r="570" spans="2:23" ht="15.75" thickBot="1" x14ac:dyDescent="0.3">
      <c r="B570" s="42"/>
      <c r="C570" s="42"/>
      <c r="D570" s="7"/>
      <c r="E570" s="7"/>
      <c r="F570" s="7"/>
      <c r="J570" s="34" t="str">
        <f>IF(Inventario!A562="","",Inventario!A562)</f>
        <v/>
      </c>
      <c r="K570" s="35" t="str">
        <f>IF(Inventario!B562="","",Inventario!B562)</f>
        <v/>
      </c>
      <c r="W570" s="31"/>
    </row>
    <row r="571" spans="2:23" ht="15.75" thickBot="1" x14ac:dyDescent="0.3">
      <c r="B571" s="42"/>
      <c r="C571" s="42"/>
      <c r="D571" s="7"/>
      <c r="E571" s="7"/>
      <c r="F571" s="7"/>
      <c r="J571" s="34" t="str">
        <f>IF(Inventario!A563="","",Inventario!A563)</f>
        <v/>
      </c>
      <c r="K571" s="35" t="str">
        <f>IF(Inventario!B563="","",Inventario!B563)</f>
        <v/>
      </c>
      <c r="W571" s="31"/>
    </row>
    <row r="572" spans="2:23" ht="15.75" thickBot="1" x14ac:dyDescent="0.3">
      <c r="B572" s="42"/>
      <c r="C572" s="42"/>
      <c r="D572" s="7"/>
      <c r="E572" s="7"/>
      <c r="F572" s="7"/>
      <c r="J572" s="34" t="str">
        <f>IF(Inventario!A564="","",Inventario!A564)</f>
        <v/>
      </c>
      <c r="K572" s="35" t="str">
        <f>IF(Inventario!B564="","",Inventario!B564)</f>
        <v/>
      </c>
      <c r="W572" s="31"/>
    </row>
    <row r="573" spans="2:23" ht="15.75" thickBot="1" x14ac:dyDescent="0.3">
      <c r="B573" s="42"/>
      <c r="C573" s="42"/>
      <c r="D573" s="7"/>
      <c r="E573" s="7"/>
      <c r="F573" s="7"/>
      <c r="J573" s="34" t="str">
        <f>IF(Inventario!A565="","",Inventario!A565)</f>
        <v/>
      </c>
      <c r="K573" s="35" t="str">
        <f>IF(Inventario!B565="","",Inventario!B565)</f>
        <v/>
      </c>
      <c r="W573" s="31"/>
    </row>
    <row r="574" spans="2:23" ht="15.75" thickBot="1" x14ac:dyDescent="0.3">
      <c r="B574" s="42"/>
      <c r="C574" s="42"/>
      <c r="D574" s="7"/>
      <c r="E574" s="7"/>
      <c r="F574" s="7"/>
      <c r="J574" s="34" t="str">
        <f>IF(Inventario!A566="","",Inventario!A566)</f>
        <v/>
      </c>
      <c r="K574" s="35" t="str">
        <f>IF(Inventario!B566="","",Inventario!B566)</f>
        <v/>
      </c>
      <c r="W574" s="31"/>
    </row>
    <row r="575" spans="2:23" ht="15.75" thickBot="1" x14ac:dyDescent="0.3">
      <c r="B575" s="42"/>
      <c r="C575" s="42"/>
      <c r="D575" s="7"/>
      <c r="E575" s="7"/>
      <c r="F575" s="7"/>
      <c r="J575" s="34" t="str">
        <f>IF(Inventario!A567="","",Inventario!A567)</f>
        <v/>
      </c>
      <c r="K575" s="35" t="str">
        <f>IF(Inventario!B567="","",Inventario!B567)</f>
        <v/>
      </c>
      <c r="W575" s="31"/>
    </row>
    <row r="576" spans="2:23" ht="15.75" thickBot="1" x14ac:dyDescent="0.3">
      <c r="B576" s="42"/>
      <c r="C576" s="42"/>
      <c r="D576" s="7"/>
      <c r="E576" s="7"/>
      <c r="F576" s="7"/>
      <c r="J576" s="34" t="str">
        <f>IF(Inventario!A568="","",Inventario!A568)</f>
        <v/>
      </c>
      <c r="K576" s="35" t="str">
        <f>IF(Inventario!B568="","",Inventario!B568)</f>
        <v/>
      </c>
      <c r="W576" s="31"/>
    </row>
    <row r="577" spans="2:23" ht="15.75" thickBot="1" x14ac:dyDescent="0.3">
      <c r="B577" s="42"/>
      <c r="C577" s="42"/>
      <c r="D577" s="7"/>
      <c r="E577" s="7"/>
      <c r="F577" s="7"/>
      <c r="J577" s="34" t="str">
        <f>IF(Inventario!A569="","",Inventario!A569)</f>
        <v/>
      </c>
      <c r="K577" s="35" t="str">
        <f>IF(Inventario!B569="","",Inventario!B569)</f>
        <v/>
      </c>
      <c r="W577" s="31"/>
    </row>
    <row r="578" spans="2:23" ht="15.75" thickBot="1" x14ac:dyDescent="0.3">
      <c r="B578" s="42"/>
      <c r="C578" s="42"/>
      <c r="D578" s="7"/>
      <c r="E578" s="7"/>
      <c r="F578" s="7"/>
      <c r="J578" s="34" t="str">
        <f>IF(Inventario!A570="","",Inventario!A570)</f>
        <v/>
      </c>
      <c r="K578" s="35" t="str">
        <f>IF(Inventario!B570="","",Inventario!B570)</f>
        <v/>
      </c>
      <c r="W578" s="31"/>
    </row>
    <row r="579" spans="2:23" ht="15.75" thickBot="1" x14ac:dyDescent="0.3">
      <c r="B579" s="42"/>
      <c r="C579" s="42"/>
      <c r="D579" s="7"/>
      <c r="E579" s="7"/>
      <c r="F579" s="7"/>
      <c r="J579" s="34" t="str">
        <f>IF(Inventario!A571="","",Inventario!A571)</f>
        <v/>
      </c>
      <c r="K579" s="35" t="str">
        <f>IF(Inventario!B571="","",Inventario!B571)</f>
        <v/>
      </c>
      <c r="W579" s="31"/>
    </row>
    <row r="580" spans="2:23" ht="15.75" thickBot="1" x14ac:dyDescent="0.3">
      <c r="B580" s="42"/>
      <c r="C580" s="42"/>
      <c r="D580" s="7"/>
      <c r="E580" s="7"/>
      <c r="F580" s="7"/>
      <c r="J580" s="34" t="str">
        <f>IF(Inventario!A572="","",Inventario!A572)</f>
        <v/>
      </c>
      <c r="K580" s="35" t="str">
        <f>IF(Inventario!B572="","",Inventario!B572)</f>
        <v/>
      </c>
      <c r="W580" s="31"/>
    </row>
    <row r="581" spans="2:23" ht="15.75" thickBot="1" x14ac:dyDescent="0.3">
      <c r="B581" s="42"/>
      <c r="C581" s="42"/>
      <c r="D581" s="7"/>
      <c r="E581" s="7"/>
      <c r="F581" s="7"/>
      <c r="J581" s="34" t="str">
        <f>IF(Inventario!A573="","",Inventario!A573)</f>
        <v/>
      </c>
      <c r="K581" s="35" t="str">
        <f>IF(Inventario!B573="","",Inventario!B573)</f>
        <v/>
      </c>
      <c r="W581" s="31"/>
    </row>
    <row r="582" spans="2:23" ht="15.75" thickBot="1" x14ac:dyDescent="0.3">
      <c r="B582" s="42"/>
      <c r="C582" s="42"/>
      <c r="D582" s="7"/>
      <c r="E582" s="7"/>
      <c r="F582" s="7"/>
      <c r="J582" s="34" t="str">
        <f>IF(Inventario!A574="","",Inventario!A574)</f>
        <v/>
      </c>
      <c r="K582" s="35" t="str">
        <f>IF(Inventario!B574="","",Inventario!B574)</f>
        <v/>
      </c>
      <c r="W582" s="31"/>
    </row>
    <row r="583" spans="2:23" ht="15.75" thickBot="1" x14ac:dyDescent="0.3">
      <c r="B583" s="42"/>
      <c r="C583" s="42"/>
      <c r="D583" s="7"/>
      <c r="E583" s="7"/>
      <c r="F583" s="7"/>
      <c r="J583" s="34" t="str">
        <f>IF(Inventario!A575="","",Inventario!A575)</f>
        <v/>
      </c>
      <c r="K583" s="35" t="str">
        <f>IF(Inventario!B575="","",Inventario!B575)</f>
        <v/>
      </c>
      <c r="W583" s="31"/>
    </row>
    <row r="584" spans="2:23" ht="15.75" thickBot="1" x14ac:dyDescent="0.3">
      <c r="B584" s="42"/>
      <c r="C584" s="42"/>
      <c r="D584" s="7"/>
      <c r="E584" s="7"/>
      <c r="F584" s="7"/>
      <c r="J584" s="34" t="str">
        <f>IF(Inventario!A576="","",Inventario!A576)</f>
        <v/>
      </c>
      <c r="K584" s="35" t="str">
        <f>IF(Inventario!B576="","",Inventario!B576)</f>
        <v/>
      </c>
      <c r="W584" s="31"/>
    </row>
    <row r="585" spans="2:23" ht="15.75" thickBot="1" x14ac:dyDescent="0.3">
      <c r="B585" s="42"/>
      <c r="C585" s="42"/>
      <c r="D585" s="7"/>
      <c r="E585" s="7"/>
      <c r="F585" s="7"/>
      <c r="J585" s="34" t="str">
        <f>IF(Inventario!A577="","",Inventario!A577)</f>
        <v/>
      </c>
      <c r="K585" s="35" t="str">
        <f>IF(Inventario!B577="","",Inventario!B577)</f>
        <v/>
      </c>
      <c r="W585" s="31"/>
    </row>
    <row r="586" spans="2:23" ht="15.75" thickBot="1" x14ac:dyDescent="0.3">
      <c r="B586" s="42"/>
      <c r="C586" s="42"/>
      <c r="D586" s="7"/>
      <c r="E586" s="7"/>
      <c r="F586" s="7"/>
      <c r="J586" s="34" t="str">
        <f>IF(Inventario!A578="","",Inventario!A578)</f>
        <v/>
      </c>
      <c r="K586" s="35" t="str">
        <f>IF(Inventario!B578="","",Inventario!B578)</f>
        <v/>
      </c>
      <c r="W586" s="31"/>
    </row>
    <row r="587" spans="2:23" ht="15.75" thickBot="1" x14ac:dyDescent="0.3">
      <c r="B587" s="42"/>
      <c r="C587" s="42"/>
      <c r="D587" s="7"/>
      <c r="E587" s="7"/>
      <c r="F587" s="7"/>
      <c r="J587" s="34" t="str">
        <f>IF(Inventario!A579="","",Inventario!A579)</f>
        <v/>
      </c>
      <c r="K587" s="35" t="str">
        <f>IF(Inventario!B579="","",Inventario!B579)</f>
        <v/>
      </c>
      <c r="W587" s="31"/>
    </row>
    <row r="588" spans="2:23" ht="15.75" thickBot="1" x14ac:dyDescent="0.3">
      <c r="B588" s="42"/>
      <c r="C588" s="42"/>
      <c r="D588" s="7"/>
      <c r="E588" s="7"/>
      <c r="F588" s="7"/>
      <c r="J588" s="34" t="str">
        <f>IF(Inventario!A580="","",Inventario!A580)</f>
        <v/>
      </c>
      <c r="K588" s="35" t="str">
        <f>IF(Inventario!B580="","",Inventario!B580)</f>
        <v/>
      </c>
      <c r="W588" s="31"/>
    </row>
    <row r="589" spans="2:23" ht="15.75" thickBot="1" x14ac:dyDescent="0.3">
      <c r="B589" s="42"/>
      <c r="C589" s="42"/>
      <c r="D589" s="7"/>
      <c r="E589" s="7"/>
      <c r="F589" s="7"/>
      <c r="J589" s="34" t="str">
        <f>IF(Inventario!A581="","",Inventario!A581)</f>
        <v/>
      </c>
      <c r="K589" s="35" t="str">
        <f>IF(Inventario!B581="","",Inventario!B581)</f>
        <v/>
      </c>
      <c r="W589" s="31"/>
    </row>
    <row r="590" spans="2:23" ht="15.75" thickBot="1" x14ac:dyDescent="0.3">
      <c r="B590" s="42"/>
      <c r="C590" s="42"/>
      <c r="D590" s="7"/>
      <c r="E590" s="7"/>
      <c r="F590" s="7"/>
      <c r="J590" s="34" t="str">
        <f>IF(Inventario!A582="","",Inventario!A582)</f>
        <v/>
      </c>
      <c r="K590" s="35" t="str">
        <f>IF(Inventario!B582="","",Inventario!B582)</f>
        <v/>
      </c>
      <c r="W590" s="31"/>
    </row>
    <row r="591" spans="2:23" ht="15.75" thickBot="1" x14ac:dyDescent="0.3">
      <c r="B591" s="42"/>
      <c r="C591" s="42"/>
      <c r="D591" s="7"/>
      <c r="E591" s="7"/>
      <c r="F591" s="7"/>
      <c r="J591" s="34" t="str">
        <f>IF(Inventario!A583="","",Inventario!A583)</f>
        <v/>
      </c>
      <c r="K591" s="35" t="str">
        <f>IF(Inventario!B583="","",Inventario!B583)</f>
        <v/>
      </c>
      <c r="W591" s="31"/>
    </row>
    <row r="592" spans="2:23" ht="15.75" thickBot="1" x14ac:dyDescent="0.3">
      <c r="B592" s="42"/>
      <c r="C592" s="42"/>
      <c r="D592" s="7"/>
      <c r="E592" s="7"/>
      <c r="F592" s="7"/>
      <c r="J592" s="34" t="str">
        <f>IF(Inventario!A584="","",Inventario!A584)</f>
        <v/>
      </c>
      <c r="K592" s="35" t="str">
        <f>IF(Inventario!B584="","",Inventario!B584)</f>
        <v/>
      </c>
      <c r="W592" s="31"/>
    </row>
    <row r="593" spans="2:23" ht="15.75" thickBot="1" x14ac:dyDescent="0.3">
      <c r="B593" s="42"/>
      <c r="C593" s="42"/>
      <c r="D593" s="7"/>
      <c r="E593" s="7"/>
      <c r="F593" s="7"/>
      <c r="J593" s="34" t="str">
        <f>IF(Inventario!A585="","",Inventario!A585)</f>
        <v/>
      </c>
      <c r="K593" s="35" t="str">
        <f>IF(Inventario!B585="","",Inventario!B585)</f>
        <v/>
      </c>
      <c r="W593" s="31"/>
    </row>
    <row r="594" spans="2:23" ht="15.75" thickBot="1" x14ac:dyDescent="0.3">
      <c r="B594" s="42"/>
      <c r="C594" s="42"/>
      <c r="D594" s="7"/>
      <c r="E594" s="7"/>
      <c r="F594" s="7"/>
      <c r="J594" s="34" t="str">
        <f>IF(Inventario!A586="","",Inventario!A586)</f>
        <v/>
      </c>
      <c r="K594" s="35" t="str">
        <f>IF(Inventario!B586="","",Inventario!B586)</f>
        <v/>
      </c>
      <c r="W594" s="31"/>
    </row>
    <row r="595" spans="2:23" ht="15.75" thickBot="1" x14ac:dyDescent="0.3">
      <c r="B595" s="42"/>
      <c r="C595" s="42"/>
      <c r="D595" s="7"/>
      <c r="E595" s="7"/>
      <c r="F595" s="7"/>
      <c r="J595" s="34" t="str">
        <f>IF(Inventario!A587="","",Inventario!A587)</f>
        <v/>
      </c>
      <c r="K595" s="35" t="str">
        <f>IF(Inventario!B587="","",Inventario!B587)</f>
        <v/>
      </c>
      <c r="W595" s="31"/>
    </row>
    <row r="596" spans="2:23" ht="15.75" thickBot="1" x14ac:dyDescent="0.3">
      <c r="B596" s="42"/>
      <c r="C596" s="42"/>
      <c r="D596" s="7"/>
      <c r="E596" s="7"/>
      <c r="F596" s="7"/>
      <c r="J596" s="34" t="str">
        <f>IF(Inventario!A588="","",Inventario!A588)</f>
        <v/>
      </c>
      <c r="K596" s="35" t="str">
        <f>IF(Inventario!B588="","",Inventario!B588)</f>
        <v/>
      </c>
      <c r="W596" s="31"/>
    </row>
    <row r="597" spans="2:23" ht="15.75" thickBot="1" x14ac:dyDescent="0.3">
      <c r="B597" s="42"/>
      <c r="C597" s="42"/>
      <c r="D597" s="7"/>
      <c r="E597" s="7"/>
      <c r="F597" s="7"/>
      <c r="J597" s="34" t="str">
        <f>IF(Inventario!A589="","",Inventario!A589)</f>
        <v/>
      </c>
      <c r="K597" s="35" t="str">
        <f>IF(Inventario!B589="","",Inventario!B589)</f>
        <v/>
      </c>
      <c r="W597" s="31"/>
    </row>
    <row r="598" spans="2:23" ht="15.75" thickBot="1" x14ac:dyDescent="0.3">
      <c r="B598" s="42"/>
      <c r="C598" s="42"/>
      <c r="D598" s="7"/>
      <c r="E598" s="7"/>
      <c r="F598" s="7"/>
      <c r="J598" s="34" t="str">
        <f>IF(Inventario!A590="","",Inventario!A590)</f>
        <v/>
      </c>
      <c r="K598" s="35" t="str">
        <f>IF(Inventario!B590="","",Inventario!B590)</f>
        <v/>
      </c>
      <c r="W598" s="31"/>
    </row>
    <row r="599" spans="2:23" ht="15.75" thickBot="1" x14ac:dyDescent="0.3">
      <c r="B599" s="7"/>
      <c r="C599" s="7"/>
      <c r="D599" s="7"/>
      <c r="E599" s="7"/>
      <c r="F599" s="7"/>
      <c r="J599" s="34" t="str">
        <f>IF(Inventario!A591="","",Inventario!A591)</f>
        <v/>
      </c>
      <c r="K599" s="35" t="str">
        <f>IF(Inventario!B591="","",Inventario!B591)</f>
        <v/>
      </c>
      <c r="W599" s="31"/>
    </row>
    <row r="600" spans="2:23" ht="15.75" thickBot="1" x14ac:dyDescent="0.3">
      <c r="B600" s="7"/>
      <c r="C600" s="7"/>
      <c r="D600" s="7"/>
      <c r="E600" s="7"/>
      <c r="F600" s="7"/>
      <c r="J600" s="34" t="str">
        <f>IF(Inventario!A592="","",Inventario!A592)</f>
        <v/>
      </c>
      <c r="K600" s="35" t="str">
        <f>IF(Inventario!B592="","",Inventario!B592)</f>
        <v/>
      </c>
      <c r="W600" s="31"/>
    </row>
    <row r="601" spans="2:23" x14ac:dyDescent="0.25">
      <c r="B601" s="7"/>
      <c r="C601" s="7"/>
      <c r="D601" s="7"/>
      <c r="E601" s="7"/>
      <c r="F601" s="7"/>
      <c r="J601" s="34" t="str">
        <f>IF(Inventario!A593="","",Inventario!A593)</f>
        <v/>
      </c>
      <c r="K601" s="35" t="str">
        <f>IF(Inventario!B593="","",Inventario!B593)</f>
        <v/>
      </c>
    </row>
    <row r="602" spans="2:23" x14ac:dyDescent="0.25">
      <c r="B602" s="7"/>
      <c r="C602" s="7"/>
      <c r="D602" s="7"/>
      <c r="E602" s="7"/>
      <c r="F602" s="7"/>
    </row>
    <row r="603" spans="2:23" x14ac:dyDescent="0.25">
      <c r="B603" s="7"/>
      <c r="C603" s="7"/>
      <c r="D603" s="7"/>
      <c r="E603" s="7"/>
      <c r="F603" s="7"/>
    </row>
    <row r="604" spans="2:23" x14ac:dyDescent="0.25">
      <c r="B604" s="7"/>
      <c r="C604" s="7"/>
      <c r="D604" s="7"/>
      <c r="E604" s="7"/>
      <c r="F604" s="7"/>
    </row>
    <row r="605" spans="2:23" x14ac:dyDescent="0.25">
      <c r="B605" s="7"/>
      <c r="C605" s="7"/>
      <c r="D605" s="7"/>
      <c r="E605" s="7"/>
      <c r="F605" s="7"/>
    </row>
    <row r="606" spans="2:23" x14ac:dyDescent="0.25">
      <c r="B606" s="7"/>
      <c r="C606" s="7"/>
      <c r="D606" s="7"/>
      <c r="E606" s="7"/>
      <c r="F606" s="7"/>
    </row>
    <row r="607" spans="2:23" x14ac:dyDescent="0.25">
      <c r="B607" s="7"/>
      <c r="C607" s="7"/>
      <c r="D607" s="7"/>
      <c r="E607" s="7"/>
      <c r="F607" s="7"/>
    </row>
    <row r="608" spans="2:23" x14ac:dyDescent="0.25">
      <c r="B608" s="7"/>
      <c r="C608" s="7"/>
      <c r="D608" s="7"/>
      <c r="E608" s="7"/>
      <c r="F608" s="7"/>
    </row>
    <row r="609" spans="2:6" x14ac:dyDescent="0.25">
      <c r="B609" s="7"/>
      <c r="C609" s="7"/>
      <c r="D609" s="7"/>
      <c r="E609" s="7"/>
      <c r="F609" s="7"/>
    </row>
    <row r="610" spans="2:6" x14ac:dyDescent="0.25">
      <c r="B610" s="7"/>
      <c r="C610" s="7"/>
      <c r="D610" s="7"/>
      <c r="E610" s="7"/>
      <c r="F610" s="7"/>
    </row>
    <row r="611" spans="2:6" x14ac:dyDescent="0.25">
      <c r="B611" s="7"/>
      <c r="C611" s="7"/>
      <c r="D611" s="7"/>
      <c r="E611" s="7"/>
      <c r="F611" s="7"/>
    </row>
    <row r="612" spans="2:6" x14ac:dyDescent="0.25">
      <c r="B612" s="7"/>
      <c r="C612" s="7"/>
      <c r="D612" s="7"/>
      <c r="E612" s="7"/>
      <c r="F612" s="7"/>
    </row>
    <row r="613" spans="2:6" x14ac:dyDescent="0.25">
      <c r="B613" s="7"/>
      <c r="C613" s="7"/>
      <c r="D613" s="7"/>
      <c r="E613" s="7"/>
      <c r="F613" s="7"/>
    </row>
    <row r="614" spans="2:6" x14ac:dyDescent="0.25">
      <c r="B614" s="7"/>
      <c r="C614" s="7"/>
      <c r="D614" s="7"/>
      <c r="E614" s="7"/>
      <c r="F614" s="7"/>
    </row>
    <row r="615" spans="2:6" x14ac:dyDescent="0.25">
      <c r="B615" s="7"/>
      <c r="C615" s="7"/>
      <c r="D615" s="7"/>
      <c r="E615" s="7"/>
      <c r="F615" s="7"/>
    </row>
    <row r="616" spans="2:6" x14ac:dyDescent="0.25">
      <c r="B616" s="7"/>
      <c r="C616" s="7"/>
      <c r="D616" s="7"/>
      <c r="E616" s="7"/>
      <c r="F616" s="7"/>
    </row>
    <row r="617" spans="2:6" x14ac:dyDescent="0.25">
      <c r="B617" s="7"/>
      <c r="C617" s="7"/>
      <c r="D617" s="7"/>
      <c r="E617" s="7"/>
      <c r="F617" s="7"/>
    </row>
    <row r="618" spans="2:6" x14ac:dyDescent="0.25">
      <c r="B618" s="7"/>
      <c r="C618" s="7"/>
      <c r="D618" s="7"/>
      <c r="E618" s="7"/>
      <c r="F618" s="7"/>
    </row>
    <row r="619" spans="2:6" x14ac:dyDescent="0.25">
      <c r="B619" s="7"/>
      <c r="C619" s="7"/>
      <c r="D619" s="7"/>
      <c r="E619" s="7"/>
      <c r="F619" s="7"/>
    </row>
    <row r="620" spans="2:6" x14ac:dyDescent="0.25">
      <c r="B620" s="7"/>
      <c r="C620" s="7"/>
      <c r="D620" s="7"/>
      <c r="E620" s="7"/>
      <c r="F620" s="7"/>
    </row>
    <row r="621" spans="2:6" x14ac:dyDescent="0.25">
      <c r="B621" s="7"/>
      <c r="C621" s="7"/>
      <c r="D621" s="7"/>
      <c r="E621" s="7"/>
      <c r="F621" s="7"/>
    </row>
    <row r="622" spans="2:6" x14ac:dyDescent="0.25">
      <c r="B622" s="7"/>
      <c r="C622" s="7"/>
      <c r="D622" s="7"/>
      <c r="E622" s="7"/>
      <c r="F622" s="7"/>
    </row>
    <row r="623" spans="2:6" x14ac:dyDescent="0.25">
      <c r="B623" s="7"/>
      <c r="C623" s="7"/>
      <c r="D623" s="7"/>
      <c r="E623" s="7"/>
      <c r="F623" s="7"/>
    </row>
    <row r="624" spans="2:6" x14ac:dyDescent="0.25">
      <c r="B624" s="7"/>
      <c r="C624" s="7"/>
      <c r="D624" s="7"/>
      <c r="E624" s="7"/>
      <c r="F624" s="7"/>
    </row>
    <row r="625" spans="2:6" x14ac:dyDescent="0.25">
      <c r="B625" s="7"/>
      <c r="C625" s="7"/>
      <c r="D625" s="7"/>
      <c r="E625" s="7"/>
      <c r="F625" s="7"/>
    </row>
    <row r="626" spans="2:6" x14ac:dyDescent="0.25">
      <c r="B626" s="7"/>
      <c r="C626" s="7"/>
      <c r="D626" s="7"/>
      <c r="E626" s="7"/>
      <c r="F626" s="7"/>
    </row>
    <row r="627" spans="2:6" x14ac:dyDescent="0.25">
      <c r="B627" s="7"/>
      <c r="C627" s="7"/>
      <c r="D627" s="7"/>
      <c r="E627" s="7"/>
      <c r="F627" s="7"/>
    </row>
    <row r="628" spans="2:6" x14ac:dyDescent="0.25">
      <c r="B628" s="7"/>
      <c r="C628" s="7"/>
      <c r="D628" s="7"/>
      <c r="E628" s="7"/>
      <c r="F628" s="7"/>
    </row>
    <row r="629" spans="2:6" x14ac:dyDescent="0.25">
      <c r="B629" s="7"/>
      <c r="C629" s="7"/>
      <c r="D629" s="7"/>
      <c r="E629" s="7"/>
      <c r="F629" s="7"/>
    </row>
    <row r="630" spans="2:6" x14ac:dyDescent="0.25">
      <c r="B630" s="7"/>
      <c r="C630" s="7"/>
      <c r="D630" s="7"/>
      <c r="E630" s="7"/>
      <c r="F630" s="7"/>
    </row>
    <row r="631" spans="2:6" x14ac:dyDescent="0.25">
      <c r="B631" s="7"/>
      <c r="C631" s="7"/>
      <c r="D631" s="7"/>
      <c r="E631" s="7"/>
      <c r="F631" s="7"/>
    </row>
    <row r="632" spans="2:6" x14ac:dyDescent="0.25">
      <c r="B632" s="7"/>
      <c r="C632" s="7"/>
      <c r="D632" s="7"/>
      <c r="E632" s="7"/>
      <c r="F632" s="7"/>
    </row>
    <row r="633" spans="2:6" x14ac:dyDescent="0.25">
      <c r="B633" s="7"/>
      <c r="C633" s="7"/>
      <c r="D633" s="7"/>
      <c r="E633" s="7"/>
      <c r="F633" s="7"/>
    </row>
    <row r="634" spans="2:6" x14ac:dyDescent="0.25">
      <c r="B634" s="7"/>
      <c r="C634" s="7"/>
      <c r="D634" s="7"/>
      <c r="E634" s="7"/>
      <c r="F634" s="7"/>
    </row>
    <row r="635" spans="2:6" x14ac:dyDescent="0.25">
      <c r="B635" s="7"/>
      <c r="C635" s="7"/>
      <c r="D635" s="7"/>
      <c r="E635" s="7"/>
      <c r="F635" s="7"/>
    </row>
    <row r="636" spans="2:6" x14ac:dyDescent="0.25">
      <c r="B636" s="7"/>
      <c r="C636" s="7"/>
      <c r="D636" s="7"/>
      <c r="E636" s="7"/>
      <c r="F636" s="7"/>
    </row>
    <row r="637" spans="2:6" x14ac:dyDescent="0.25">
      <c r="B637" s="7"/>
      <c r="C637" s="7"/>
      <c r="D637" s="7"/>
      <c r="E637" s="7"/>
      <c r="F637" s="7"/>
    </row>
    <row r="638" spans="2:6" x14ac:dyDescent="0.25">
      <c r="B638" s="7"/>
      <c r="C638" s="7"/>
      <c r="D638" s="7"/>
      <c r="E638" s="7"/>
      <c r="F638" s="7"/>
    </row>
    <row r="639" spans="2:6" x14ac:dyDescent="0.25">
      <c r="B639" s="7"/>
      <c r="C639" s="7"/>
      <c r="D639" s="7"/>
      <c r="E639" s="7"/>
      <c r="F639" s="7"/>
    </row>
    <row r="640" spans="2:6" x14ac:dyDescent="0.25">
      <c r="B640" s="7"/>
      <c r="C640" s="7"/>
      <c r="D640" s="7"/>
      <c r="E640" s="7"/>
      <c r="F640" s="7"/>
    </row>
    <row r="641" spans="2:6" x14ac:dyDescent="0.25">
      <c r="B641" s="7"/>
      <c r="C641" s="7"/>
      <c r="D641" s="7"/>
      <c r="E641" s="7"/>
      <c r="F641" s="7"/>
    </row>
    <row r="642" spans="2:6" x14ac:dyDescent="0.25">
      <c r="B642" s="7"/>
      <c r="C642" s="7"/>
      <c r="D642" s="7"/>
      <c r="E642" s="7"/>
      <c r="F642" s="7"/>
    </row>
    <row r="643" spans="2:6" x14ac:dyDescent="0.25">
      <c r="B643" s="7"/>
      <c r="C643" s="7"/>
      <c r="D643" s="7"/>
      <c r="E643" s="7"/>
      <c r="F643" s="7"/>
    </row>
    <row r="644" spans="2:6" x14ac:dyDescent="0.25">
      <c r="B644" s="7"/>
      <c r="C644" s="7"/>
      <c r="D644" s="7"/>
      <c r="E644" s="7"/>
      <c r="F644" s="7"/>
    </row>
    <row r="645" spans="2:6" x14ac:dyDescent="0.25">
      <c r="B645" s="7"/>
      <c r="C645" s="7"/>
      <c r="D645" s="7"/>
      <c r="E645" s="7"/>
      <c r="F645" s="7"/>
    </row>
    <row r="646" spans="2:6" x14ac:dyDescent="0.25">
      <c r="B646" s="7"/>
      <c r="C646" s="7"/>
      <c r="D646" s="7"/>
      <c r="E646" s="7"/>
      <c r="F646" s="7"/>
    </row>
    <row r="647" spans="2:6" x14ac:dyDescent="0.25">
      <c r="B647" s="7"/>
      <c r="C647" s="7"/>
      <c r="D647" s="7"/>
      <c r="E647" s="7"/>
      <c r="F647" s="7"/>
    </row>
    <row r="648" spans="2:6" x14ac:dyDescent="0.25">
      <c r="B648" s="7"/>
      <c r="C648" s="7"/>
      <c r="D648" s="7"/>
      <c r="E648" s="7"/>
      <c r="F648" s="7"/>
    </row>
    <row r="649" spans="2:6" x14ac:dyDescent="0.25">
      <c r="B649" s="7"/>
      <c r="C649" s="7"/>
      <c r="D649" s="7"/>
      <c r="E649" s="7"/>
      <c r="F649" s="7"/>
    </row>
    <row r="650" spans="2:6" x14ac:dyDescent="0.25">
      <c r="B650" s="7"/>
      <c r="C650" s="7"/>
      <c r="D650" s="7"/>
      <c r="E650" s="7"/>
      <c r="F650" s="7"/>
    </row>
    <row r="651" spans="2:6" x14ac:dyDescent="0.25">
      <c r="B651" s="7"/>
      <c r="C651" s="7"/>
      <c r="D651" s="7"/>
      <c r="E651" s="7"/>
      <c r="F651" s="7"/>
    </row>
    <row r="652" spans="2:6" x14ac:dyDescent="0.25">
      <c r="B652" s="7"/>
      <c r="C652" s="7"/>
      <c r="D652" s="7"/>
      <c r="E652" s="7"/>
      <c r="F652" s="7"/>
    </row>
    <row r="653" spans="2:6" x14ac:dyDescent="0.25">
      <c r="B653" s="7"/>
      <c r="C653" s="7"/>
      <c r="D653" s="7"/>
      <c r="E653" s="7"/>
      <c r="F653" s="7"/>
    </row>
    <row r="654" spans="2:6" x14ac:dyDescent="0.25">
      <c r="B654" s="7"/>
      <c r="C654" s="7"/>
      <c r="D654" s="7"/>
      <c r="E654" s="7"/>
      <c r="F654" s="7"/>
    </row>
    <row r="655" spans="2:6" x14ac:dyDescent="0.25">
      <c r="B655" s="7"/>
      <c r="C655" s="7"/>
      <c r="D655" s="7"/>
      <c r="E655" s="7"/>
      <c r="F655" s="7"/>
    </row>
    <row r="656" spans="2:6" x14ac:dyDescent="0.25">
      <c r="B656" s="7"/>
      <c r="C656" s="7"/>
      <c r="D656" s="7"/>
      <c r="E656" s="7"/>
      <c r="F656" s="7"/>
    </row>
    <row r="657" spans="2:6" x14ac:dyDescent="0.25">
      <c r="B657" s="7"/>
      <c r="C657" s="7"/>
      <c r="D657" s="7"/>
      <c r="E657" s="7"/>
      <c r="F657" s="7"/>
    </row>
    <row r="658" spans="2:6" x14ac:dyDescent="0.25">
      <c r="B658" s="7"/>
      <c r="C658" s="7"/>
      <c r="D658" s="7"/>
      <c r="E658" s="7"/>
      <c r="F658" s="7"/>
    </row>
    <row r="659" spans="2:6" x14ac:dyDescent="0.25">
      <c r="B659" s="7"/>
      <c r="C659" s="7"/>
      <c r="D659" s="7"/>
      <c r="E659" s="7"/>
      <c r="F659" s="7"/>
    </row>
    <row r="660" spans="2:6" x14ac:dyDescent="0.25">
      <c r="B660" s="7"/>
      <c r="C660" s="7"/>
      <c r="D660" s="7"/>
      <c r="E660" s="7"/>
      <c r="F660" s="7"/>
    </row>
    <row r="661" spans="2:6" x14ac:dyDescent="0.25">
      <c r="B661" s="7"/>
      <c r="C661" s="7"/>
      <c r="D661" s="7"/>
      <c r="E661" s="7"/>
      <c r="F661" s="7"/>
    </row>
    <row r="662" spans="2:6" x14ac:dyDescent="0.25">
      <c r="B662" s="7"/>
      <c r="C662" s="7"/>
      <c r="D662" s="7"/>
      <c r="E662" s="7"/>
      <c r="F662" s="7"/>
    </row>
    <row r="663" spans="2:6" x14ac:dyDescent="0.25">
      <c r="B663" s="7"/>
      <c r="C663" s="7"/>
      <c r="D663" s="7"/>
      <c r="E663" s="7"/>
      <c r="F663" s="7"/>
    </row>
    <row r="664" spans="2:6" x14ac:dyDescent="0.25">
      <c r="B664" s="7"/>
      <c r="C664" s="7"/>
      <c r="D664" s="7"/>
      <c r="E664" s="7"/>
      <c r="F664" s="7"/>
    </row>
    <row r="665" spans="2:6" x14ac:dyDescent="0.25">
      <c r="B665" s="7"/>
      <c r="C665" s="7"/>
      <c r="D665" s="7"/>
      <c r="E665" s="7"/>
      <c r="F665" s="7"/>
    </row>
    <row r="666" spans="2:6" x14ac:dyDescent="0.25">
      <c r="B666" s="7"/>
      <c r="C666" s="7"/>
      <c r="D666" s="7"/>
      <c r="E666" s="7"/>
      <c r="F666" s="7"/>
    </row>
    <row r="667" spans="2:6" x14ac:dyDescent="0.25">
      <c r="B667" s="7"/>
      <c r="C667" s="7"/>
      <c r="D667" s="7"/>
      <c r="E667" s="7"/>
      <c r="F667" s="7"/>
    </row>
    <row r="668" spans="2:6" x14ac:dyDescent="0.25">
      <c r="B668" s="7"/>
      <c r="C668" s="7"/>
      <c r="D668" s="7"/>
      <c r="E668" s="7"/>
      <c r="F668" s="7"/>
    </row>
    <row r="669" spans="2:6" x14ac:dyDescent="0.25">
      <c r="B669" s="7"/>
      <c r="C669" s="7"/>
      <c r="D669" s="7"/>
      <c r="E669" s="7"/>
      <c r="F669" s="7"/>
    </row>
    <row r="670" spans="2:6" x14ac:dyDescent="0.25">
      <c r="B670" s="7"/>
      <c r="C670" s="7"/>
      <c r="D670" s="7"/>
      <c r="E670" s="7"/>
      <c r="F670" s="7"/>
    </row>
    <row r="671" spans="2:6" x14ac:dyDescent="0.25">
      <c r="B671" s="7"/>
      <c r="C671" s="7"/>
      <c r="D671" s="7"/>
      <c r="E671" s="7"/>
      <c r="F671" s="7"/>
    </row>
    <row r="672" spans="2:6" x14ac:dyDescent="0.25">
      <c r="B672" s="7"/>
      <c r="C672" s="7"/>
      <c r="D672" s="7"/>
      <c r="E672" s="7"/>
      <c r="F672" s="7"/>
    </row>
    <row r="673" spans="2:6" x14ac:dyDescent="0.25">
      <c r="B673" s="7"/>
      <c r="C673" s="7"/>
      <c r="D673" s="7"/>
      <c r="E673" s="7"/>
      <c r="F673" s="7"/>
    </row>
    <row r="674" spans="2:6" x14ac:dyDescent="0.25">
      <c r="B674" s="7"/>
      <c r="C674" s="7"/>
      <c r="D674" s="7"/>
      <c r="E674" s="7"/>
      <c r="F674" s="7"/>
    </row>
    <row r="675" spans="2:6" x14ac:dyDescent="0.25">
      <c r="B675" s="7"/>
      <c r="C675" s="7"/>
      <c r="D675" s="7"/>
      <c r="E675" s="7"/>
      <c r="F675" s="7"/>
    </row>
    <row r="676" spans="2:6" x14ac:dyDescent="0.25">
      <c r="B676" s="7"/>
      <c r="C676" s="7"/>
      <c r="D676" s="7"/>
      <c r="E676" s="7"/>
      <c r="F676" s="7"/>
    </row>
    <row r="677" spans="2:6" x14ac:dyDescent="0.25">
      <c r="B677" s="7"/>
      <c r="C677" s="7"/>
      <c r="D677" s="7"/>
      <c r="E677" s="7"/>
      <c r="F677" s="7"/>
    </row>
    <row r="678" spans="2:6" x14ac:dyDescent="0.25">
      <c r="B678" s="7"/>
      <c r="C678" s="7"/>
      <c r="D678" s="7"/>
      <c r="E678" s="7"/>
      <c r="F678" s="7"/>
    </row>
    <row r="679" spans="2:6" x14ac:dyDescent="0.25">
      <c r="B679" s="7"/>
      <c r="C679" s="7"/>
      <c r="D679" s="7"/>
      <c r="E679" s="7"/>
      <c r="F679" s="7"/>
    </row>
    <row r="680" spans="2:6" x14ac:dyDescent="0.25">
      <c r="B680" s="7"/>
      <c r="C680" s="7"/>
      <c r="D680" s="7"/>
      <c r="E680" s="7"/>
      <c r="F680" s="7"/>
    </row>
    <row r="681" spans="2:6" x14ac:dyDescent="0.25">
      <c r="B681" s="7"/>
      <c r="C681" s="7"/>
      <c r="D681" s="7"/>
      <c r="E681" s="7"/>
      <c r="F681" s="7"/>
    </row>
    <row r="682" spans="2:6" x14ac:dyDescent="0.25">
      <c r="B682" s="7"/>
      <c r="C682" s="7"/>
      <c r="D682" s="7"/>
      <c r="E682" s="7"/>
      <c r="F682" s="7"/>
    </row>
    <row r="683" spans="2:6" x14ac:dyDescent="0.25">
      <c r="B683" s="7"/>
      <c r="C683" s="7"/>
      <c r="D683" s="7"/>
      <c r="E683" s="7"/>
      <c r="F683" s="7"/>
    </row>
    <row r="684" spans="2:6" x14ac:dyDescent="0.25">
      <c r="B684" s="7"/>
      <c r="C684" s="7"/>
      <c r="D684" s="7"/>
      <c r="E684" s="7"/>
      <c r="F684" s="7"/>
    </row>
    <row r="685" spans="2:6" x14ac:dyDescent="0.25">
      <c r="B685" s="7"/>
      <c r="C685" s="7"/>
      <c r="D685" s="7"/>
      <c r="E685" s="7"/>
      <c r="F685" s="7"/>
    </row>
    <row r="686" spans="2:6" x14ac:dyDescent="0.25">
      <c r="B686" s="7"/>
      <c r="C686" s="7"/>
      <c r="D686" s="7"/>
      <c r="E686" s="7"/>
      <c r="F686" s="7"/>
    </row>
    <row r="687" spans="2:6" x14ac:dyDescent="0.25">
      <c r="B687" s="7"/>
      <c r="C687" s="7"/>
      <c r="D687" s="7"/>
      <c r="E687" s="7"/>
      <c r="F687" s="7"/>
    </row>
    <row r="688" spans="2:6" x14ac:dyDescent="0.25">
      <c r="B688" s="7"/>
      <c r="C688" s="7"/>
      <c r="D688" s="7"/>
      <c r="E688" s="7"/>
      <c r="F688" s="7"/>
    </row>
    <row r="689" spans="2:6" x14ac:dyDescent="0.25">
      <c r="B689" s="7"/>
      <c r="C689" s="7"/>
      <c r="D689" s="7"/>
      <c r="E689" s="7"/>
      <c r="F689" s="7"/>
    </row>
    <row r="690" spans="2:6" x14ac:dyDescent="0.25">
      <c r="B690" s="7"/>
      <c r="C690" s="7"/>
      <c r="D690" s="7"/>
      <c r="E690" s="7"/>
      <c r="F690" s="7"/>
    </row>
    <row r="691" spans="2:6" x14ac:dyDescent="0.25">
      <c r="B691" s="7"/>
      <c r="C691" s="7"/>
      <c r="D691" s="7"/>
      <c r="E691" s="7"/>
      <c r="F691" s="7"/>
    </row>
    <row r="692" spans="2:6" x14ac:dyDescent="0.25">
      <c r="B692" s="7"/>
      <c r="C692" s="7"/>
      <c r="D692" s="7"/>
      <c r="E692" s="7"/>
      <c r="F692" s="7"/>
    </row>
    <row r="693" spans="2:6" x14ac:dyDescent="0.25">
      <c r="B693" s="7"/>
      <c r="C693" s="7"/>
      <c r="D693" s="7"/>
      <c r="E693" s="7"/>
      <c r="F693" s="7"/>
    </row>
    <row r="694" spans="2:6" x14ac:dyDescent="0.25">
      <c r="B694" s="7"/>
      <c r="C694" s="7"/>
      <c r="D694" s="7"/>
      <c r="E694" s="7"/>
      <c r="F694" s="7"/>
    </row>
    <row r="695" spans="2:6" x14ac:dyDescent="0.25">
      <c r="B695" s="7"/>
      <c r="C695" s="7"/>
      <c r="D695" s="7"/>
      <c r="E695" s="7"/>
      <c r="F695" s="7"/>
    </row>
    <row r="696" spans="2:6" x14ac:dyDescent="0.25">
      <c r="B696" s="7"/>
      <c r="C696" s="7"/>
      <c r="D696" s="7"/>
      <c r="E696" s="7"/>
      <c r="F696" s="7"/>
    </row>
    <row r="697" spans="2:6" x14ac:dyDescent="0.25">
      <c r="B697" s="7"/>
      <c r="C697" s="7"/>
      <c r="D697" s="7"/>
      <c r="E697" s="7"/>
      <c r="F697" s="7"/>
    </row>
    <row r="698" spans="2:6" x14ac:dyDescent="0.25">
      <c r="B698" s="7"/>
      <c r="C698" s="7"/>
      <c r="D698" s="7"/>
      <c r="E698" s="7"/>
      <c r="F698" s="7"/>
    </row>
    <row r="699" spans="2:6" x14ac:dyDescent="0.25">
      <c r="B699" s="7"/>
      <c r="C699" s="7"/>
      <c r="D699" s="7"/>
      <c r="E699" s="7"/>
      <c r="F699" s="7"/>
    </row>
    <row r="700" spans="2:6" x14ac:dyDescent="0.25">
      <c r="B700" s="7"/>
      <c r="C700" s="7"/>
      <c r="D700" s="7"/>
      <c r="E700" s="7"/>
      <c r="F700" s="7"/>
    </row>
    <row r="701" spans="2:6" x14ac:dyDescent="0.25">
      <c r="B701" s="7"/>
      <c r="C701" s="7"/>
      <c r="D701" s="7"/>
      <c r="E701" s="7"/>
      <c r="F701" s="7"/>
    </row>
    <row r="702" spans="2:6" x14ac:dyDescent="0.25">
      <c r="B702" s="7"/>
      <c r="C702" s="7"/>
      <c r="D702" s="7"/>
      <c r="E702" s="7"/>
      <c r="F702" s="7"/>
    </row>
    <row r="703" spans="2:6" x14ac:dyDescent="0.25">
      <c r="B703" s="7"/>
      <c r="C703" s="7"/>
      <c r="D703" s="7"/>
      <c r="E703" s="7"/>
      <c r="F703" s="7"/>
    </row>
    <row r="704" spans="2:6" x14ac:dyDescent="0.25">
      <c r="B704" s="7"/>
      <c r="C704" s="7"/>
      <c r="D704" s="7"/>
      <c r="E704" s="7"/>
      <c r="F704" s="7"/>
    </row>
    <row r="705" spans="2:6" x14ac:dyDescent="0.25">
      <c r="B705" s="7"/>
      <c r="C705" s="7"/>
      <c r="D705" s="7"/>
      <c r="E705" s="7"/>
      <c r="F705" s="7"/>
    </row>
    <row r="706" spans="2:6" x14ac:dyDescent="0.25">
      <c r="B706" s="7"/>
      <c r="C706" s="7"/>
      <c r="D706" s="7"/>
      <c r="E706" s="7"/>
      <c r="F706" s="7"/>
    </row>
    <row r="707" spans="2:6" x14ac:dyDescent="0.25">
      <c r="B707" s="7"/>
      <c r="C707" s="7"/>
      <c r="D707" s="7"/>
      <c r="E707" s="7"/>
      <c r="F707" s="7"/>
    </row>
    <row r="708" spans="2:6" x14ac:dyDescent="0.25">
      <c r="B708" s="7"/>
      <c r="C708" s="7"/>
      <c r="D708" s="7"/>
      <c r="E708" s="7"/>
      <c r="F708" s="7"/>
    </row>
    <row r="709" spans="2:6" x14ac:dyDescent="0.25">
      <c r="B709" s="7"/>
      <c r="C709" s="7"/>
      <c r="D709" s="7"/>
      <c r="E709" s="7"/>
      <c r="F709" s="7"/>
    </row>
    <row r="710" spans="2:6" x14ac:dyDescent="0.25">
      <c r="B710" s="7"/>
      <c r="C710" s="7"/>
      <c r="D710" s="7"/>
      <c r="E710" s="7"/>
      <c r="F710" s="7"/>
    </row>
    <row r="711" spans="2:6" x14ac:dyDescent="0.25">
      <c r="B711" s="7"/>
      <c r="C711" s="7"/>
      <c r="D711" s="7"/>
      <c r="E711" s="7"/>
      <c r="F711" s="7"/>
    </row>
    <row r="712" spans="2:6" x14ac:dyDescent="0.25">
      <c r="B712" s="7"/>
      <c r="C712" s="7"/>
      <c r="D712" s="7"/>
      <c r="E712" s="7"/>
      <c r="F712" s="7"/>
    </row>
    <row r="713" spans="2:6" x14ac:dyDescent="0.25">
      <c r="B713" s="7"/>
      <c r="C713" s="7"/>
      <c r="D713" s="7"/>
      <c r="E713" s="7"/>
      <c r="F713" s="7"/>
    </row>
    <row r="714" spans="2:6" x14ac:dyDescent="0.25">
      <c r="B714" s="7"/>
      <c r="C714" s="7"/>
      <c r="D714" s="7"/>
      <c r="E714" s="7"/>
      <c r="F714" s="7"/>
    </row>
    <row r="715" spans="2:6" x14ac:dyDescent="0.25">
      <c r="B715" s="7"/>
      <c r="C715" s="7"/>
      <c r="D715" s="7"/>
      <c r="E715" s="7"/>
      <c r="F715" s="7"/>
    </row>
    <row r="716" spans="2:6" x14ac:dyDescent="0.25">
      <c r="B716" s="7"/>
      <c r="C716" s="7"/>
      <c r="D716" s="7"/>
      <c r="E716" s="7"/>
      <c r="F716" s="7"/>
    </row>
    <row r="717" spans="2:6" x14ac:dyDescent="0.25">
      <c r="B717" s="7"/>
      <c r="C717" s="7"/>
      <c r="D717" s="7"/>
      <c r="E717" s="7"/>
      <c r="F717" s="7"/>
    </row>
    <row r="718" spans="2:6" x14ac:dyDescent="0.25">
      <c r="B718" s="7"/>
      <c r="C718" s="7"/>
      <c r="D718" s="7"/>
      <c r="E718" s="7"/>
      <c r="F718" s="7"/>
    </row>
    <row r="719" spans="2:6" x14ac:dyDescent="0.25">
      <c r="B719" s="7"/>
      <c r="C719" s="7"/>
      <c r="D719" s="7"/>
      <c r="E719" s="7"/>
      <c r="F719" s="7"/>
    </row>
    <row r="720" spans="2:6" x14ac:dyDescent="0.25">
      <c r="B720" s="7"/>
      <c r="C720" s="7"/>
      <c r="D720" s="7"/>
      <c r="E720" s="7"/>
      <c r="F720" s="7"/>
    </row>
    <row r="721" spans="2:6" x14ac:dyDescent="0.25">
      <c r="B721" s="7"/>
      <c r="C721" s="7"/>
      <c r="D721" s="7"/>
      <c r="E721" s="7"/>
      <c r="F721" s="7"/>
    </row>
    <row r="722" spans="2:6" x14ac:dyDescent="0.25">
      <c r="B722" s="7"/>
      <c r="C722" s="7"/>
      <c r="D722" s="7"/>
      <c r="E722" s="7"/>
      <c r="F722" s="7"/>
    </row>
    <row r="723" spans="2:6" x14ac:dyDescent="0.25">
      <c r="B723" s="7"/>
      <c r="C723" s="7"/>
      <c r="D723" s="7"/>
      <c r="E723" s="7"/>
      <c r="F723" s="7"/>
    </row>
    <row r="724" spans="2:6" x14ac:dyDescent="0.25">
      <c r="B724" s="7"/>
      <c r="C724" s="7"/>
      <c r="D724" s="7"/>
      <c r="E724" s="7"/>
      <c r="F724" s="7"/>
    </row>
    <row r="725" spans="2:6" x14ac:dyDescent="0.25">
      <c r="B725" s="7"/>
      <c r="C725" s="7"/>
      <c r="D725" s="7"/>
      <c r="E725" s="7"/>
      <c r="F725" s="7"/>
    </row>
    <row r="726" spans="2:6" x14ac:dyDescent="0.25">
      <c r="B726" s="7"/>
      <c r="C726" s="7"/>
      <c r="D726" s="7"/>
      <c r="E726" s="7"/>
      <c r="F726" s="7"/>
    </row>
    <row r="727" spans="2:6" x14ac:dyDescent="0.25">
      <c r="B727" s="7"/>
      <c r="C727" s="7"/>
      <c r="D727" s="7"/>
      <c r="E727" s="7"/>
      <c r="F727" s="7"/>
    </row>
    <row r="728" spans="2:6" x14ac:dyDescent="0.25">
      <c r="B728" s="7"/>
      <c r="C728" s="7"/>
      <c r="D728" s="7"/>
      <c r="E728" s="7"/>
      <c r="F728" s="7"/>
    </row>
    <row r="729" spans="2:6" x14ac:dyDescent="0.25">
      <c r="B729" s="7"/>
      <c r="C729" s="7"/>
      <c r="D729" s="7"/>
      <c r="E729" s="7"/>
      <c r="F729" s="7"/>
    </row>
    <row r="730" spans="2:6" x14ac:dyDescent="0.25">
      <c r="B730" s="7"/>
      <c r="C730" s="7"/>
      <c r="D730" s="7"/>
      <c r="E730" s="7"/>
      <c r="F730" s="7"/>
    </row>
    <row r="731" spans="2:6" x14ac:dyDescent="0.25">
      <c r="B731" s="7"/>
      <c r="C731" s="7"/>
      <c r="D731" s="7"/>
      <c r="E731" s="7"/>
      <c r="F731" s="7"/>
    </row>
    <row r="732" spans="2:6" x14ac:dyDescent="0.25">
      <c r="B732" s="7"/>
      <c r="C732" s="7"/>
      <c r="D732" s="7"/>
      <c r="E732" s="7"/>
      <c r="F732" s="7"/>
    </row>
    <row r="733" spans="2:6" x14ac:dyDescent="0.25">
      <c r="B733" s="7"/>
      <c r="C733" s="7"/>
      <c r="D733" s="7"/>
      <c r="E733" s="7"/>
      <c r="F733" s="7"/>
    </row>
    <row r="734" spans="2:6" x14ac:dyDescent="0.25">
      <c r="B734" s="7"/>
      <c r="C734" s="7"/>
      <c r="D734" s="7"/>
      <c r="E734" s="7"/>
      <c r="F734" s="7"/>
    </row>
    <row r="735" spans="2:6" x14ac:dyDescent="0.25">
      <c r="B735" s="7"/>
      <c r="C735" s="7"/>
      <c r="D735" s="7"/>
      <c r="E735" s="7"/>
      <c r="F735" s="7"/>
    </row>
    <row r="736" spans="2:6" x14ac:dyDescent="0.25">
      <c r="B736" s="7"/>
      <c r="C736" s="7"/>
      <c r="D736" s="7"/>
      <c r="E736" s="7"/>
      <c r="F736" s="7"/>
    </row>
    <row r="737" spans="2:6" x14ac:dyDescent="0.25">
      <c r="B737" s="7"/>
      <c r="C737" s="7"/>
      <c r="D737" s="7"/>
      <c r="E737" s="7"/>
      <c r="F737" s="7"/>
    </row>
    <row r="738" spans="2:6" x14ac:dyDescent="0.25">
      <c r="B738" s="7"/>
      <c r="C738" s="7"/>
      <c r="D738" s="7"/>
      <c r="E738" s="7"/>
      <c r="F738" s="7"/>
    </row>
    <row r="739" spans="2:6" x14ac:dyDescent="0.25">
      <c r="B739" s="7"/>
      <c r="C739" s="7"/>
      <c r="D739" s="7"/>
      <c r="E739" s="7"/>
      <c r="F739" s="7"/>
    </row>
    <row r="740" spans="2:6" x14ac:dyDescent="0.25">
      <c r="B740" s="7"/>
      <c r="C740" s="7"/>
      <c r="D740" s="7"/>
      <c r="E740" s="7"/>
      <c r="F740" s="7"/>
    </row>
    <row r="741" spans="2:6" x14ac:dyDescent="0.25">
      <c r="B741" s="7"/>
      <c r="C741" s="7"/>
      <c r="D741" s="7"/>
      <c r="E741" s="7"/>
      <c r="F741" s="7"/>
    </row>
  </sheetData>
  <sheetProtection formatRows="0"/>
  <autoFilter ref="J9:K601"/>
  <mergeCells count="1">
    <mergeCell ref="J8:K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6</xdr:col>
                <xdr:colOff>57150</xdr:colOff>
                <xdr:row>9</xdr:row>
                <xdr:rowOff>85725</xdr:rowOff>
              </from>
              <to>
                <xdr:col>7</xdr:col>
                <xdr:colOff>1504950</xdr:colOff>
                <xdr:row>10</xdr:row>
                <xdr:rowOff>238125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H63"/>
  <sheetViews>
    <sheetView workbookViewId="0">
      <selection activeCell="K9" sqref="K9"/>
    </sheetView>
  </sheetViews>
  <sheetFormatPr baseColWidth="10" defaultRowHeight="15" x14ac:dyDescent="0.25"/>
  <cols>
    <col min="1" max="1" width="11" style="57"/>
    <col min="2" max="2" width="11" style="58" bestFit="1" customWidth="1"/>
    <col min="3" max="4" width="11" style="53"/>
    <col min="5" max="5" width="20" style="53" bestFit="1" customWidth="1"/>
    <col min="6" max="8" width="11" style="53"/>
    <col min="9" max="16384" width="11" style="48"/>
  </cols>
  <sheetData>
    <row r="1" spans="1:8" s="47" customFormat="1" ht="34.5" customHeight="1" x14ac:dyDescent="0.25">
      <c r="A1" s="44" t="s">
        <v>58</v>
      </c>
      <c r="B1" s="45" t="s">
        <v>61</v>
      </c>
      <c r="C1" s="46" t="s">
        <v>84</v>
      </c>
      <c r="D1" s="46" t="s">
        <v>65</v>
      </c>
      <c r="E1" s="46" t="s">
        <v>66</v>
      </c>
      <c r="F1" s="46" t="s">
        <v>67</v>
      </c>
      <c r="G1" s="46" t="s">
        <v>68</v>
      </c>
      <c r="H1" s="46" t="s">
        <v>85</v>
      </c>
    </row>
    <row r="2" spans="1:8" s="47" customFormat="1" ht="16.5" customHeight="1" x14ac:dyDescent="0.25">
      <c r="A2" s="19">
        <v>41601</v>
      </c>
      <c r="B2" s="22">
        <v>41601.657000115738</v>
      </c>
      <c r="C2" s="10">
        <v>127</v>
      </c>
      <c r="D2" s="10">
        <v>6</v>
      </c>
      <c r="E2" s="10" t="s">
        <v>74</v>
      </c>
      <c r="F2" s="10">
        <v>1</v>
      </c>
      <c r="G2" s="10">
        <v>9</v>
      </c>
      <c r="H2" s="10">
        <v>9</v>
      </c>
    </row>
    <row r="3" spans="1:8" s="47" customFormat="1" ht="16.5" customHeight="1" x14ac:dyDescent="0.25">
      <c r="A3" s="19">
        <v>41601</v>
      </c>
      <c r="B3" s="22">
        <v>41601.657000115738</v>
      </c>
      <c r="C3" s="10">
        <v>127</v>
      </c>
      <c r="D3" s="10">
        <v>4</v>
      </c>
      <c r="E3" s="10" t="s">
        <v>72</v>
      </c>
      <c r="F3" s="10">
        <v>2</v>
      </c>
      <c r="G3" s="10">
        <v>18</v>
      </c>
      <c r="H3" s="10">
        <v>36</v>
      </c>
    </row>
    <row r="4" spans="1:8" x14ac:dyDescent="0.25">
      <c r="A4" s="19">
        <v>41601</v>
      </c>
      <c r="B4" s="22">
        <v>41601.536677777774</v>
      </c>
      <c r="C4" s="10">
        <v>126</v>
      </c>
      <c r="D4" s="10">
        <v>3</v>
      </c>
      <c r="E4" s="10" t="s">
        <v>86</v>
      </c>
      <c r="F4" s="10">
        <v>1</v>
      </c>
      <c r="G4" s="10">
        <v>18</v>
      </c>
      <c r="H4" s="10">
        <v>18</v>
      </c>
    </row>
    <row r="5" spans="1:8" x14ac:dyDescent="0.25">
      <c r="A5" s="19">
        <v>41601</v>
      </c>
      <c r="B5" s="22">
        <v>41601.536677777774</v>
      </c>
      <c r="C5" s="10">
        <v>126</v>
      </c>
      <c r="D5" s="10">
        <v>2</v>
      </c>
      <c r="E5" s="10" t="s">
        <v>87</v>
      </c>
      <c r="F5" s="10">
        <v>1</v>
      </c>
      <c r="G5" s="10">
        <v>18</v>
      </c>
      <c r="H5" s="10">
        <v>18</v>
      </c>
    </row>
    <row r="6" spans="1:8" x14ac:dyDescent="0.25">
      <c r="A6" s="19">
        <v>41601</v>
      </c>
      <c r="B6" s="22">
        <v>41601.536677777774</v>
      </c>
      <c r="C6" s="10">
        <v>126</v>
      </c>
      <c r="D6" s="10">
        <v>17</v>
      </c>
      <c r="E6" s="10" t="s">
        <v>88</v>
      </c>
      <c r="F6" s="10">
        <v>2</v>
      </c>
      <c r="G6" s="10">
        <v>25</v>
      </c>
      <c r="H6" s="10">
        <v>50</v>
      </c>
    </row>
    <row r="7" spans="1:8" x14ac:dyDescent="0.25">
      <c r="A7" s="19">
        <v>41601</v>
      </c>
      <c r="B7" s="22">
        <v>41601.503633796296</v>
      </c>
      <c r="C7" s="10">
        <v>125</v>
      </c>
      <c r="D7" s="10">
        <v>23</v>
      </c>
      <c r="E7" s="10" t="s">
        <v>89</v>
      </c>
      <c r="F7" s="10">
        <v>1</v>
      </c>
      <c r="G7" s="10">
        <v>38</v>
      </c>
      <c r="H7" s="10">
        <v>38</v>
      </c>
    </row>
    <row r="8" spans="1:8" x14ac:dyDescent="0.25">
      <c r="A8" s="19">
        <v>41601</v>
      </c>
      <c r="B8" s="22">
        <v>41601.503633796296</v>
      </c>
      <c r="C8" s="10">
        <v>125</v>
      </c>
      <c r="D8" s="10">
        <v>1</v>
      </c>
      <c r="E8" s="10" t="s">
        <v>90</v>
      </c>
      <c r="F8" s="10">
        <v>2</v>
      </c>
      <c r="G8" s="10">
        <v>18</v>
      </c>
      <c r="H8" s="10">
        <v>36</v>
      </c>
    </row>
    <row r="9" spans="1:8" x14ac:dyDescent="0.25">
      <c r="A9" s="19"/>
      <c r="B9" s="22"/>
      <c r="C9" s="10"/>
      <c r="D9" s="10"/>
      <c r="E9" s="10"/>
      <c r="F9" s="10"/>
      <c r="G9" s="10"/>
      <c r="H9" s="10"/>
    </row>
    <row r="10" spans="1:8" x14ac:dyDescent="0.25">
      <c r="A10" s="19"/>
      <c r="B10" s="22"/>
      <c r="C10" s="10"/>
      <c r="D10" s="10"/>
      <c r="E10" s="10"/>
      <c r="F10" s="10"/>
      <c r="G10" s="10"/>
      <c r="H10" s="10"/>
    </row>
    <row r="11" spans="1:8" x14ac:dyDescent="0.25">
      <c r="A11" s="19"/>
      <c r="B11" s="22"/>
      <c r="C11" s="10"/>
      <c r="D11" s="10"/>
      <c r="E11" s="10"/>
      <c r="F11" s="10"/>
      <c r="G11" s="10"/>
      <c r="H11" s="10"/>
    </row>
    <row r="12" spans="1:8" x14ac:dyDescent="0.25">
      <c r="A12" s="19"/>
      <c r="B12" s="22"/>
      <c r="C12" s="10"/>
      <c r="D12" s="10"/>
      <c r="E12" s="10"/>
      <c r="F12" s="10"/>
      <c r="G12" s="10"/>
      <c r="H12" s="10"/>
    </row>
    <row r="13" spans="1:8" x14ac:dyDescent="0.25">
      <c r="A13" s="19"/>
      <c r="B13" s="22"/>
      <c r="C13" s="10"/>
      <c r="D13" s="10"/>
      <c r="E13" s="10"/>
      <c r="F13" s="10"/>
      <c r="G13" s="10"/>
      <c r="H13" s="10"/>
    </row>
    <row r="14" spans="1:8" x14ac:dyDescent="0.25">
      <c r="A14" s="19"/>
      <c r="B14" s="22"/>
      <c r="C14" s="10"/>
      <c r="D14" s="10"/>
      <c r="E14" s="10"/>
      <c r="F14" s="10"/>
      <c r="G14" s="10"/>
      <c r="H14" s="10"/>
    </row>
    <row r="15" spans="1:8" x14ac:dyDescent="0.25">
      <c r="A15" s="19"/>
      <c r="B15" s="22"/>
      <c r="C15" s="10"/>
      <c r="D15" s="10"/>
      <c r="E15" s="10"/>
      <c r="F15" s="10"/>
      <c r="G15" s="10"/>
      <c r="H15" s="10"/>
    </row>
    <row r="16" spans="1:8" x14ac:dyDescent="0.25">
      <c r="A16" s="19"/>
      <c r="B16" s="22"/>
      <c r="C16" s="10"/>
      <c r="D16" s="10"/>
      <c r="E16" s="10"/>
      <c r="F16" s="10"/>
      <c r="G16" s="10"/>
      <c r="H16" s="10"/>
    </row>
    <row r="17" spans="1:8" x14ac:dyDescent="0.25">
      <c r="A17" s="49"/>
      <c r="B17" s="50"/>
      <c r="C17" s="48"/>
      <c r="D17" s="48"/>
      <c r="E17" s="48"/>
      <c r="F17" s="48"/>
      <c r="G17" s="48"/>
      <c r="H17" s="48"/>
    </row>
    <row r="18" spans="1:8" x14ac:dyDescent="0.25">
      <c r="A18" s="49"/>
      <c r="B18" s="50"/>
      <c r="C18" s="48"/>
      <c r="D18" s="48"/>
      <c r="E18" s="48"/>
      <c r="F18" s="48"/>
      <c r="G18" s="48"/>
      <c r="H18" s="48"/>
    </row>
    <row r="19" spans="1:8" x14ac:dyDescent="0.25">
      <c r="A19" s="49"/>
      <c r="B19" s="50"/>
      <c r="C19" s="48"/>
      <c r="D19" s="48"/>
      <c r="E19" s="48"/>
      <c r="F19" s="48"/>
      <c r="G19" s="48"/>
      <c r="H19" s="48"/>
    </row>
    <row r="20" spans="1:8" x14ac:dyDescent="0.25">
      <c r="A20" s="49"/>
      <c r="B20" s="50"/>
      <c r="C20" s="48"/>
      <c r="D20" s="48"/>
      <c r="E20" s="48"/>
      <c r="F20" s="48"/>
      <c r="G20" s="48"/>
      <c r="H20" s="48"/>
    </row>
    <row r="21" spans="1:8" x14ac:dyDescent="0.25">
      <c r="A21" s="49"/>
      <c r="B21" s="50"/>
      <c r="C21" s="48"/>
      <c r="D21" s="48"/>
      <c r="E21" s="48"/>
      <c r="F21" s="48"/>
      <c r="G21" s="48"/>
      <c r="H21" s="48"/>
    </row>
    <row r="22" spans="1:8" x14ac:dyDescent="0.25">
      <c r="A22" s="49"/>
      <c r="B22" s="50"/>
      <c r="C22" s="48"/>
      <c r="D22" s="48"/>
      <c r="E22" s="48"/>
      <c r="F22" s="48"/>
      <c r="G22" s="48"/>
      <c r="H22" s="48"/>
    </row>
    <row r="23" spans="1:8" x14ac:dyDescent="0.25">
      <c r="A23" s="49"/>
      <c r="B23" s="50"/>
      <c r="C23" s="48"/>
      <c r="D23" s="48"/>
      <c r="E23" s="48"/>
      <c r="F23" s="48"/>
      <c r="G23" s="48"/>
      <c r="H23" s="48"/>
    </row>
    <row r="24" spans="1:8" x14ac:dyDescent="0.25">
      <c r="A24" s="49"/>
      <c r="B24" s="50"/>
      <c r="C24" s="48"/>
      <c r="D24" s="48"/>
      <c r="E24" s="48"/>
      <c r="F24" s="48"/>
      <c r="G24" s="48"/>
      <c r="H24" s="48"/>
    </row>
    <row r="25" spans="1:8" x14ac:dyDescent="0.25">
      <c r="A25" s="49"/>
      <c r="B25" s="50"/>
      <c r="C25" s="48"/>
      <c r="D25" s="48"/>
      <c r="E25" s="48"/>
      <c r="F25" s="48"/>
      <c r="G25" s="48"/>
      <c r="H25" s="48"/>
    </row>
    <row r="26" spans="1:8" x14ac:dyDescent="0.25">
      <c r="A26" s="49"/>
      <c r="B26" s="50"/>
      <c r="C26" s="48"/>
      <c r="D26" s="48"/>
      <c r="E26" s="48"/>
      <c r="F26" s="48"/>
      <c r="G26" s="48"/>
      <c r="H26" s="48"/>
    </row>
    <row r="27" spans="1:8" x14ac:dyDescent="0.25">
      <c r="A27" s="49"/>
      <c r="B27" s="50"/>
      <c r="C27" s="48"/>
      <c r="D27" s="48"/>
      <c r="E27" s="48"/>
      <c r="F27" s="48"/>
      <c r="G27" s="48"/>
      <c r="H27" s="48"/>
    </row>
    <row r="28" spans="1:8" x14ac:dyDescent="0.25">
      <c r="A28" s="49"/>
      <c r="B28" s="50"/>
      <c r="C28" s="48"/>
      <c r="D28" s="48"/>
      <c r="E28" s="48"/>
      <c r="F28" s="48"/>
      <c r="G28" s="48"/>
      <c r="H28" s="48"/>
    </row>
    <row r="29" spans="1:8" x14ac:dyDescent="0.25">
      <c r="A29" s="49"/>
      <c r="B29" s="50"/>
      <c r="C29" s="48"/>
      <c r="D29" s="48"/>
      <c r="E29" s="48"/>
      <c r="F29" s="48"/>
      <c r="G29" s="48"/>
      <c r="H29" s="48"/>
    </row>
    <row r="30" spans="1:8" x14ac:dyDescent="0.25">
      <c r="A30" s="49"/>
      <c r="B30" s="50"/>
      <c r="C30" s="48"/>
      <c r="D30" s="48"/>
      <c r="E30" s="48"/>
      <c r="F30" s="48"/>
      <c r="G30" s="48"/>
      <c r="H30" s="48"/>
    </row>
    <row r="31" spans="1:8" x14ac:dyDescent="0.25">
      <c r="A31" s="49"/>
      <c r="B31" s="50"/>
      <c r="C31" s="48"/>
      <c r="D31" s="48"/>
      <c r="E31" s="48"/>
      <c r="F31" s="48"/>
      <c r="G31" s="48"/>
      <c r="H31" s="48"/>
    </row>
    <row r="32" spans="1:8" x14ac:dyDescent="0.25">
      <c r="A32" s="49"/>
      <c r="B32" s="50"/>
      <c r="C32" s="48"/>
      <c r="D32" s="48"/>
      <c r="E32" s="48"/>
      <c r="F32" s="48"/>
      <c r="G32" s="48"/>
      <c r="H32" s="48"/>
    </row>
    <row r="33" spans="1:8" x14ac:dyDescent="0.25">
      <c r="A33" s="49"/>
      <c r="B33" s="50"/>
      <c r="C33" s="48"/>
      <c r="D33" s="48"/>
      <c r="E33" s="48"/>
      <c r="F33" s="48"/>
      <c r="G33" s="48"/>
      <c r="H33" s="48"/>
    </row>
    <row r="34" spans="1:8" x14ac:dyDescent="0.25">
      <c r="A34" s="49"/>
      <c r="B34" s="50"/>
      <c r="C34" s="48"/>
      <c r="D34" s="48"/>
      <c r="E34" s="48"/>
      <c r="F34" s="48"/>
      <c r="G34" s="48"/>
      <c r="H34" s="48"/>
    </row>
    <row r="35" spans="1:8" x14ac:dyDescent="0.25">
      <c r="A35" s="49"/>
      <c r="B35" s="50"/>
      <c r="C35" s="48"/>
      <c r="D35" s="48"/>
      <c r="E35" s="48"/>
      <c r="F35" s="48"/>
      <c r="G35" s="48"/>
      <c r="H35" s="48"/>
    </row>
    <row r="36" spans="1:8" x14ac:dyDescent="0.25">
      <c r="A36" s="49"/>
      <c r="B36" s="50"/>
      <c r="C36" s="48"/>
      <c r="D36" s="48"/>
      <c r="E36" s="48"/>
      <c r="F36" s="48"/>
      <c r="G36" s="48"/>
      <c r="H36" s="48"/>
    </row>
    <row r="37" spans="1:8" x14ac:dyDescent="0.25">
      <c r="A37" s="49"/>
      <c r="B37" s="50"/>
      <c r="C37" s="48"/>
      <c r="D37" s="48"/>
      <c r="E37" s="48"/>
      <c r="F37" s="48"/>
      <c r="G37" s="48"/>
      <c r="H37" s="48"/>
    </row>
    <row r="38" spans="1:8" x14ac:dyDescent="0.25">
      <c r="A38" s="49"/>
      <c r="B38" s="50"/>
      <c r="C38" s="48"/>
      <c r="D38" s="48"/>
      <c r="E38" s="48"/>
      <c r="F38" s="48"/>
      <c r="G38" s="48"/>
      <c r="H38" s="48"/>
    </row>
    <row r="39" spans="1:8" x14ac:dyDescent="0.25">
      <c r="A39" s="49"/>
      <c r="B39" s="50"/>
      <c r="C39" s="48"/>
      <c r="D39" s="48"/>
      <c r="E39" s="48"/>
      <c r="F39" s="48"/>
      <c r="G39" s="48"/>
      <c r="H39" s="48"/>
    </row>
    <row r="40" spans="1:8" x14ac:dyDescent="0.25">
      <c r="A40" s="49"/>
      <c r="B40" s="50"/>
      <c r="C40" s="48"/>
      <c r="D40" s="48"/>
      <c r="E40" s="48"/>
      <c r="F40" s="48"/>
      <c r="G40" s="48"/>
      <c r="H40" s="48"/>
    </row>
    <row r="41" spans="1:8" x14ac:dyDescent="0.25">
      <c r="A41" s="49"/>
      <c r="B41" s="50"/>
      <c r="C41" s="48"/>
      <c r="D41" s="48"/>
      <c r="E41" s="48"/>
      <c r="F41" s="48"/>
      <c r="G41" s="48"/>
      <c r="H41" s="48"/>
    </row>
    <row r="42" spans="1:8" x14ac:dyDescent="0.25">
      <c r="A42" s="49"/>
      <c r="B42" s="50"/>
      <c r="C42" s="48"/>
      <c r="D42" s="48"/>
      <c r="E42" s="48"/>
      <c r="F42" s="48"/>
      <c r="G42" s="48"/>
      <c r="H42" s="48"/>
    </row>
    <row r="43" spans="1:8" x14ac:dyDescent="0.25">
      <c r="A43" s="49"/>
      <c r="B43" s="50"/>
      <c r="C43" s="48"/>
      <c r="D43" s="48"/>
      <c r="E43" s="48"/>
      <c r="F43" s="48"/>
      <c r="G43" s="48"/>
      <c r="H43" s="48"/>
    </row>
    <row r="44" spans="1:8" x14ac:dyDescent="0.25">
      <c r="A44" s="49"/>
      <c r="B44" s="50"/>
      <c r="C44" s="51"/>
      <c r="D44" s="48"/>
      <c r="E44" s="48"/>
      <c r="F44" s="48"/>
      <c r="G44" s="48"/>
      <c r="H44" s="48"/>
    </row>
    <row r="45" spans="1:8" x14ac:dyDescent="0.25">
      <c r="A45" s="49"/>
      <c r="B45" s="50"/>
      <c r="C45" s="51"/>
      <c r="D45" s="48"/>
      <c r="E45" s="48"/>
      <c r="F45" s="48"/>
      <c r="G45" s="48"/>
      <c r="H45" s="48"/>
    </row>
    <row r="46" spans="1:8" x14ac:dyDescent="0.25">
      <c r="A46" s="49"/>
      <c r="B46" s="50"/>
      <c r="C46" s="51"/>
      <c r="D46" s="48"/>
      <c r="E46" s="48"/>
      <c r="F46" s="48"/>
      <c r="G46" s="48"/>
      <c r="H46" s="48"/>
    </row>
    <row r="47" spans="1:8" x14ac:dyDescent="0.25">
      <c r="A47" s="49"/>
      <c r="B47" s="50"/>
      <c r="C47" s="51"/>
      <c r="D47" s="48"/>
      <c r="E47" s="48"/>
      <c r="F47" s="48"/>
      <c r="G47" s="48"/>
      <c r="H47" s="48"/>
    </row>
    <row r="48" spans="1:8" x14ac:dyDescent="0.25">
      <c r="A48" s="49"/>
      <c r="B48" s="50"/>
      <c r="C48" s="51"/>
      <c r="D48" s="48"/>
      <c r="E48" s="48"/>
      <c r="F48" s="48"/>
      <c r="G48" s="48"/>
      <c r="H48" s="48"/>
    </row>
    <row r="49" spans="1:8" x14ac:dyDescent="0.25">
      <c r="A49" s="49"/>
      <c r="B49" s="50"/>
      <c r="C49" s="51"/>
      <c r="D49" s="48"/>
      <c r="E49" s="48"/>
      <c r="F49" s="48"/>
      <c r="G49" s="48"/>
      <c r="H49" s="48"/>
    </row>
    <row r="50" spans="1:8" x14ac:dyDescent="0.25">
      <c r="A50" s="49"/>
      <c r="B50" s="50"/>
      <c r="C50" s="51"/>
      <c r="D50" s="48"/>
      <c r="E50" s="48"/>
      <c r="F50" s="48"/>
      <c r="G50" s="48"/>
      <c r="H50" s="48"/>
    </row>
    <row r="51" spans="1:8" x14ac:dyDescent="0.25">
      <c r="A51" s="49"/>
      <c r="B51" s="50"/>
      <c r="C51" s="51"/>
      <c r="D51" s="48"/>
      <c r="E51" s="48"/>
      <c r="F51" s="48"/>
      <c r="G51" s="48"/>
      <c r="H51" s="48"/>
    </row>
    <row r="52" spans="1:8" x14ac:dyDescent="0.25">
      <c r="A52" s="49"/>
      <c r="B52" s="50"/>
      <c r="C52" s="51"/>
      <c r="D52" s="48"/>
      <c r="E52" s="48"/>
      <c r="F52" s="48"/>
      <c r="G52" s="48"/>
      <c r="H52" s="48"/>
    </row>
    <row r="53" spans="1:8" x14ac:dyDescent="0.25">
      <c r="A53" s="49"/>
      <c r="B53" s="50"/>
      <c r="C53" s="51"/>
      <c r="D53" s="48"/>
      <c r="E53" s="48"/>
      <c r="F53" s="48"/>
      <c r="G53" s="48"/>
      <c r="H53" s="48"/>
    </row>
    <row r="54" spans="1:8" x14ac:dyDescent="0.25">
      <c r="A54" s="49"/>
      <c r="B54" s="50"/>
      <c r="C54" s="51"/>
      <c r="D54" s="48"/>
      <c r="E54" s="48"/>
      <c r="F54" s="48"/>
      <c r="G54" s="48"/>
      <c r="H54" s="48"/>
    </row>
    <row r="55" spans="1:8" x14ac:dyDescent="0.25">
      <c r="A55" s="49"/>
      <c r="B55" s="50"/>
      <c r="C55" s="51"/>
      <c r="D55" s="52"/>
      <c r="E55" s="52"/>
      <c r="F55" s="52"/>
      <c r="G55" s="52"/>
      <c r="H55" s="52"/>
    </row>
    <row r="56" spans="1:8" x14ac:dyDescent="0.25">
      <c r="A56" s="49"/>
      <c r="B56" s="50"/>
      <c r="C56" s="51"/>
      <c r="D56" s="52"/>
      <c r="E56" s="52"/>
      <c r="F56" s="52"/>
      <c r="G56" s="52"/>
      <c r="H56" s="52"/>
    </row>
    <row r="57" spans="1:8" x14ac:dyDescent="0.25">
      <c r="A57" s="49"/>
      <c r="B57" s="50"/>
      <c r="C57" s="51"/>
    </row>
    <row r="58" spans="1:8" x14ac:dyDescent="0.25">
      <c r="A58" s="49"/>
      <c r="B58" s="50"/>
      <c r="C58" s="51"/>
    </row>
    <row r="59" spans="1:8" x14ac:dyDescent="0.25">
      <c r="A59" s="54"/>
      <c r="B59" s="55"/>
      <c r="C59" s="51"/>
    </row>
    <row r="60" spans="1:8" x14ac:dyDescent="0.25">
      <c r="A60" s="51"/>
      <c r="B60" s="50"/>
      <c r="C60" s="56"/>
    </row>
    <row r="61" spans="1:8" x14ac:dyDescent="0.25">
      <c r="C61" s="51"/>
    </row>
    <row r="62" spans="1:8" x14ac:dyDescent="0.25">
      <c r="C62" s="48"/>
    </row>
    <row r="63" spans="1:8" x14ac:dyDescent="0.25">
      <c r="C63" s="5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39997558519241921"/>
  </sheetPr>
  <dimension ref="A1:J101"/>
  <sheetViews>
    <sheetView showGridLines="0" workbookViewId="0">
      <selection activeCell="K9" sqref="K9"/>
    </sheetView>
  </sheetViews>
  <sheetFormatPr baseColWidth="10" defaultRowHeight="15" x14ac:dyDescent="0.25"/>
  <cols>
    <col min="1" max="1" width="11" style="63"/>
    <col min="2" max="2" width="44.875" style="63" bestFit="1" customWidth="1"/>
    <col min="3" max="4" width="9.875" style="63" customWidth="1"/>
    <col min="5" max="5" width="11" style="63"/>
    <col min="6" max="9" width="11" style="48"/>
    <col min="10" max="10" width="0" style="48" hidden="1" customWidth="1"/>
    <col min="11" max="16384" width="11" style="48"/>
  </cols>
  <sheetData>
    <row r="1" spans="1:10" ht="47.25" customHeight="1" thickBot="1" x14ac:dyDescent="0.3">
      <c r="A1" s="60" t="s">
        <v>91</v>
      </c>
      <c r="B1" s="61" t="s">
        <v>66</v>
      </c>
      <c r="C1" s="61" t="s">
        <v>92</v>
      </c>
      <c r="D1" s="61" t="s">
        <v>93</v>
      </c>
      <c r="E1" s="61" t="s">
        <v>94</v>
      </c>
      <c r="J1" s="48" t="e">
        <v>#N/A</v>
      </c>
    </row>
    <row r="2" spans="1:10" x14ac:dyDescent="0.25">
      <c r="A2" s="62">
        <v>1</v>
      </c>
      <c r="B2" s="62" t="str">
        <f>VLOOKUP(A2,Compras!$D:$E,2)</f>
        <v>PAN BOLLITO</v>
      </c>
      <c r="C2" s="62">
        <f>SUMIFS(Compras!$G:$G,Compras!$D:$D,Inventario!A2)</f>
        <v>20</v>
      </c>
      <c r="D2" s="62">
        <f>SUMIFS(Registrovta!$F:$F,Registrovta!$D:$D,Inventario!A2)</f>
        <v>2</v>
      </c>
      <c r="E2" s="62">
        <f>C2-D2</f>
        <v>18</v>
      </c>
    </row>
    <row r="3" spans="1:10" x14ac:dyDescent="0.25">
      <c r="A3" s="63">
        <v>2</v>
      </c>
      <c r="B3" s="62" t="str">
        <f>VLOOKUP(A3,Compras!$D:$E,2)</f>
        <v>PAN MIÑON</v>
      </c>
      <c r="C3" s="62">
        <f>SUMIFS(Compras!$G:$G,Compras!$D:$D,Inventario!A3)</f>
        <v>20</v>
      </c>
      <c r="D3" s="62">
        <f>SUMIFS(Registrovta!$F:$F,Registrovta!$D:$D,Inventario!A3)</f>
        <v>1</v>
      </c>
      <c r="E3" s="62">
        <f t="shared" ref="E3:E66" si="0">C3-D3</f>
        <v>19</v>
      </c>
    </row>
    <row r="4" spans="1:10" x14ac:dyDescent="0.25">
      <c r="A4" s="63">
        <v>3</v>
      </c>
      <c r="B4" s="62" t="str">
        <f>VLOOKUP(A4,Compras!$D:$E,2)</f>
        <v>PAN SANGUCHERO</v>
      </c>
      <c r="C4" s="62">
        <f>SUMIFS(Compras!$G:$G,Compras!$D:$D,Inventario!A4)</f>
        <v>20</v>
      </c>
      <c r="D4" s="62">
        <f>SUMIFS(Registrovta!$F:$F,Registrovta!$D:$D,Inventario!A4)</f>
        <v>1</v>
      </c>
      <c r="E4" s="62">
        <f t="shared" si="0"/>
        <v>19</v>
      </c>
    </row>
    <row r="5" spans="1:10" x14ac:dyDescent="0.25">
      <c r="A5" s="63">
        <v>4</v>
      </c>
      <c r="B5" s="62" t="str">
        <f>VLOOKUP(A5,Compras!$D:$E,2)</f>
        <v>PAN SALVADO</v>
      </c>
      <c r="C5" s="62">
        <f>SUMIFS(Compras!$G:$G,Compras!$D:$D,Inventario!A5)</f>
        <v>20</v>
      </c>
      <c r="D5" s="62">
        <f>SUMIFS(Registrovta!$F:$F,Registrovta!$D:$D,Inventario!A5)</f>
        <v>2</v>
      </c>
      <c r="E5" s="62">
        <f t="shared" si="0"/>
        <v>18</v>
      </c>
    </row>
    <row r="6" spans="1:10" x14ac:dyDescent="0.25">
      <c r="A6" s="63">
        <v>5</v>
      </c>
      <c r="B6" s="62" t="str">
        <f>VLOOKUP(A6,Compras!$D:$E,2)</f>
        <v>PAN DE PANCHO</v>
      </c>
      <c r="C6" s="62">
        <f>SUMIFS(Compras!$G:$G,Compras!$D:$D,Inventario!A6)</f>
        <v>20</v>
      </c>
      <c r="D6" s="62">
        <f>SUMIFS(Registrovta!$F:$F,Registrovta!$D:$D,Inventario!A6)</f>
        <v>0</v>
      </c>
      <c r="E6" s="62">
        <f t="shared" si="0"/>
        <v>20</v>
      </c>
    </row>
    <row r="7" spans="1:10" x14ac:dyDescent="0.25">
      <c r="A7" s="63">
        <v>6</v>
      </c>
      <c r="B7" s="62" t="str">
        <f>VLOOKUP(A7,Compras!$D:$E,2)</f>
        <v xml:space="preserve">PAN DE HAMBURGUESA X 6 </v>
      </c>
      <c r="C7" s="62">
        <f>SUMIFS(Compras!$G:$G,Compras!$D:$D,Inventario!A7)</f>
        <v>20</v>
      </c>
      <c r="D7" s="62">
        <f>SUMIFS(Registrovta!$F:$F,Registrovta!$D:$D,Inventario!A7)</f>
        <v>1</v>
      </c>
      <c r="E7" s="62">
        <f t="shared" si="0"/>
        <v>19</v>
      </c>
    </row>
    <row r="8" spans="1:10" x14ac:dyDescent="0.25">
      <c r="A8" s="63">
        <v>7</v>
      </c>
      <c r="B8" s="62" t="str">
        <f>VLOOKUP(A8,Compras!$D:$E,2)</f>
        <v>PAN ARABE X4</v>
      </c>
      <c r="C8" s="62">
        <f>SUMIFS(Compras!$G:$G,Compras!$D:$D,Inventario!A8)</f>
        <v>20</v>
      </c>
      <c r="D8" s="62">
        <f>SUMIFS(Registrovta!$F:$F,Registrovta!$D:$D,Inventario!A8)</f>
        <v>0</v>
      </c>
      <c r="E8" s="62">
        <f t="shared" si="0"/>
        <v>20</v>
      </c>
    </row>
    <row r="9" spans="1:10" x14ac:dyDescent="0.25">
      <c r="A9" s="63">
        <v>8</v>
      </c>
      <c r="B9" s="62" t="str">
        <f>VLOOKUP(A9,Compras!$D:$E,2)</f>
        <v>PAN DE MIGA X 12</v>
      </c>
      <c r="C9" s="62">
        <f>SUMIFS(Compras!$G:$G,Compras!$D:$D,Inventario!A9)</f>
        <v>20</v>
      </c>
      <c r="D9" s="62">
        <f>SUMIFS(Registrovta!$F:$F,Registrovta!$D:$D,Inventario!A9)</f>
        <v>0</v>
      </c>
      <c r="E9" s="62">
        <f t="shared" si="0"/>
        <v>20</v>
      </c>
    </row>
    <row r="10" spans="1:10" x14ac:dyDescent="0.25">
      <c r="A10" s="63">
        <v>9</v>
      </c>
      <c r="B10" s="62" t="str">
        <f>VLOOKUP(A10,Compras!$D:$E,2)</f>
        <v>PAN RALLADO X 500 G</v>
      </c>
      <c r="C10" s="62">
        <f>SUMIFS(Compras!$G:$G,Compras!$D:$D,Inventario!A10)</f>
        <v>20</v>
      </c>
      <c r="D10" s="62">
        <f>SUMIFS(Registrovta!$F:$F,Registrovta!$D:$D,Inventario!A10)</f>
        <v>0</v>
      </c>
      <c r="E10" s="62">
        <f t="shared" si="0"/>
        <v>20</v>
      </c>
    </row>
    <row r="11" spans="1:10" x14ac:dyDescent="0.25">
      <c r="A11" s="62">
        <v>10</v>
      </c>
      <c r="B11" s="62" t="str">
        <f>VLOOKUP(A11,Compras!$D:$E,2)</f>
        <v>PAN DULCE ECONOMICO</v>
      </c>
      <c r="C11" s="62">
        <f>SUMIFS(Compras!$G:$G,Compras!$D:$D,Inventario!A11)</f>
        <v>20</v>
      </c>
      <c r="D11" s="62">
        <f>SUMIFS(Registrovta!$F:$F,Registrovta!$D:$D,Inventario!A11)</f>
        <v>0</v>
      </c>
      <c r="E11" s="62">
        <f t="shared" si="0"/>
        <v>20</v>
      </c>
    </row>
    <row r="12" spans="1:10" x14ac:dyDescent="0.25">
      <c r="A12" s="63">
        <v>11</v>
      </c>
      <c r="B12" s="62" t="str">
        <f>VLOOKUP(A12,Compras!$D:$E,2)</f>
        <v>PAN DULCE ESPECIAL</v>
      </c>
      <c r="C12" s="62">
        <f>SUMIFS(Compras!$G:$G,Compras!$D:$D,Inventario!A12)</f>
        <v>20</v>
      </c>
      <c r="D12" s="62">
        <f>SUMIFS(Registrovta!$F:$F,Registrovta!$D:$D,Inventario!A12)</f>
        <v>0</v>
      </c>
      <c r="E12" s="62">
        <f t="shared" si="0"/>
        <v>20</v>
      </c>
    </row>
    <row r="13" spans="1:10" x14ac:dyDescent="0.25">
      <c r="A13" s="63">
        <v>12</v>
      </c>
      <c r="B13" s="62" t="str">
        <f>VLOOKUP(A13,Compras!$D:$E,2)</f>
        <v>PANETON ECONOMICO</v>
      </c>
      <c r="C13" s="62">
        <f>SUMIFS(Compras!$G:$G,Compras!$D:$D,Inventario!A13)</f>
        <v>20</v>
      </c>
      <c r="D13" s="62">
        <f>SUMIFS(Registrovta!$F:$F,Registrovta!$D:$D,Inventario!A13)</f>
        <v>0</v>
      </c>
      <c r="E13" s="62">
        <f t="shared" si="0"/>
        <v>20</v>
      </c>
    </row>
    <row r="14" spans="1:10" x14ac:dyDescent="0.25">
      <c r="A14" s="63">
        <v>13</v>
      </c>
      <c r="B14" s="62" t="str">
        <f>VLOOKUP(A14,Compras!$D:$E,2)</f>
        <v>PANETON ESPECIAL</v>
      </c>
      <c r="C14" s="62">
        <f>SUMIFS(Compras!$G:$G,Compras!$D:$D,Inventario!A14)</f>
        <v>20</v>
      </c>
      <c r="D14" s="62">
        <f>SUMIFS(Registrovta!$F:$F,Registrovta!$D:$D,Inventario!A14)</f>
        <v>0</v>
      </c>
      <c r="E14" s="62">
        <f t="shared" si="0"/>
        <v>20</v>
      </c>
    </row>
    <row r="15" spans="1:10" x14ac:dyDescent="0.25">
      <c r="A15" s="63">
        <v>14</v>
      </c>
      <c r="B15" s="62" t="str">
        <f>VLOOKUP(A15,Compras!$D:$E,2)</f>
        <v>PREPIZZA X U.</v>
      </c>
      <c r="C15" s="62">
        <f>SUMIFS(Compras!$G:$G,Compras!$D:$D,Inventario!A15)</f>
        <v>20</v>
      </c>
      <c r="D15" s="62">
        <f>SUMIFS(Registrovta!$F:$F,Registrovta!$D:$D,Inventario!A15)</f>
        <v>0</v>
      </c>
      <c r="E15" s="62">
        <f t="shared" si="0"/>
        <v>20</v>
      </c>
    </row>
    <row r="16" spans="1:10" x14ac:dyDescent="0.25">
      <c r="A16" s="63">
        <v>15</v>
      </c>
      <c r="B16" s="62" t="str">
        <f>VLOOKUP(A16,Compras!$D:$E,2)</f>
        <v>PIZZETAS X DOC</v>
      </c>
      <c r="C16" s="62">
        <f>SUMIFS(Compras!$G:$G,Compras!$D:$D,Inventario!A16)</f>
        <v>20</v>
      </c>
      <c r="D16" s="62">
        <f>SUMIFS(Registrovta!$F:$F,Registrovta!$D:$D,Inventario!A16)</f>
        <v>0</v>
      </c>
      <c r="E16" s="62">
        <f t="shared" si="0"/>
        <v>20</v>
      </c>
    </row>
    <row r="17" spans="1:5" x14ac:dyDescent="0.25">
      <c r="A17" s="63">
        <v>16</v>
      </c>
      <c r="B17" s="62" t="str">
        <f>VLOOKUP(A17,Compras!$D:$E,2)</f>
        <v>PRELISTAS "PALETA Y MUSARELA"</v>
      </c>
      <c r="C17" s="62">
        <f>SUMIFS(Compras!$G:$G,Compras!$D:$D,Inventario!A17)</f>
        <v>20</v>
      </c>
      <c r="D17" s="62">
        <f>SUMIFS(Registrovta!$F:$F,Registrovta!$D:$D,Inventario!A17)</f>
        <v>0</v>
      </c>
      <c r="E17" s="62">
        <f t="shared" si="0"/>
        <v>20</v>
      </c>
    </row>
    <row r="18" spans="1:5" x14ac:dyDescent="0.25">
      <c r="A18" s="63">
        <v>17</v>
      </c>
      <c r="B18" s="62" t="str">
        <f>VLOOKUP(A18,Compras!$D:$E,2)</f>
        <v>TORTITA CHATITAS</v>
      </c>
      <c r="C18" s="62">
        <f>SUMIFS(Compras!$G:$G,Compras!$D:$D,Inventario!A18)</f>
        <v>20</v>
      </c>
      <c r="D18" s="62">
        <f>SUMIFS(Registrovta!$F:$F,Registrovta!$D:$D,Inventario!A18)</f>
        <v>2</v>
      </c>
      <c r="E18" s="62">
        <f t="shared" si="0"/>
        <v>18</v>
      </c>
    </row>
    <row r="19" spans="1:5" x14ac:dyDescent="0.25">
      <c r="A19" s="63">
        <v>18</v>
      </c>
      <c r="B19" s="62" t="str">
        <f>VLOOKUP(A19,Compras!$D:$E,2)</f>
        <v>TORTITA C/ AZUCAR</v>
      </c>
      <c r="C19" s="62">
        <f>SUMIFS(Compras!$G:$G,Compras!$D:$D,Inventario!A19)</f>
        <v>20</v>
      </c>
      <c r="D19" s="62">
        <f>SUMIFS(Registrovta!$F:$F,Registrovta!$D:$D,Inventario!A19)</f>
        <v>0</v>
      </c>
      <c r="E19" s="62">
        <f t="shared" si="0"/>
        <v>20</v>
      </c>
    </row>
    <row r="20" spans="1:5" x14ac:dyDescent="0.25">
      <c r="A20" s="62">
        <v>19</v>
      </c>
      <c r="B20" s="62" t="str">
        <f>VLOOKUP(A20,Compras!$D:$E,2)</f>
        <v>TORTITA GORDITAS</v>
      </c>
      <c r="C20" s="62">
        <f>SUMIFS(Compras!$G:$G,Compras!$D:$D,Inventario!A20)</f>
        <v>20</v>
      </c>
      <c r="D20" s="62">
        <f>SUMIFS(Registrovta!$F:$F,Registrovta!$D:$D,Inventario!A20)</f>
        <v>0</v>
      </c>
      <c r="E20" s="62">
        <f t="shared" si="0"/>
        <v>20</v>
      </c>
    </row>
    <row r="21" spans="1:5" x14ac:dyDescent="0.25">
      <c r="A21" s="63">
        <v>20</v>
      </c>
      <c r="B21" s="62" t="str">
        <f>VLOOKUP(A21,Compras!$D:$E,2)</f>
        <v>TORTITA HOJANDRES</v>
      </c>
      <c r="C21" s="62">
        <f>SUMIFS(Compras!$G:$G,Compras!$D:$D,Inventario!A21)</f>
        <v>20</v>
      </c>
      <c r="D21" s="62">
        <f>SUMIFS(Registrovta!$F:$F,Registrovta!$D:$D,Inventario!A21)</f>
        <v>0</v>
      </c>
      <c r="E21" s="62">
        <f t="shared" si="0"/>
        <v>20</v>
      </c>
    </row>
    <row r="22" spans="1:5" x14ac:dyDescent="0.25">
      <c r="A22" s="63">
        <v>21</v>
      </c>
      <c r="B22" s="62" t="str">
        <f>VLOOKUP(A22,Compras!$D:$E,2)</f>
        <v>TORTITA BOLSA  DIA ANTERIOR</v>
      </c>
      <c r="C22" s="62">
        <f>SUMIFS(Compras!$G:$G,Compras!$D:$D,Inventario!A22)</f>
        <v>20</v>
      </c>
      <c r="D22" s="62">
        <f>SUMIFS(Registrovta!$F:$F,Registrovta!$D:$D,Inventario!A22)</f>
        <v>0</v>
      </c>
      <c r="E22" s="62">
        <f t="shared" si="0"/>
        <v>20</v>
      </c>
    </row>
    <row r="23" spans="1:5" x14ac:dyDescent="0.25">
      <c r="A23" s="63">
        <v>22</v>
      </c>
      <c r="B23" s="62" t="str">
        <f>VLOOKUP(A23,Compras!$D:$E,2)</f>
        <v>TORTA FRITAS</v>
      </c>
      <c r="C23" s="62">
        <f>SUMIFS(Compras!$G:$G,Compras!$D:$D,Inventario!A23)</f>
        <v>20</v>
      </c>
      <c r="D23" s="62">
        <f>SUMIFS(Registrovta!$F:$F,Registrovta!$D:$D,Inventario!A23)</f>
        <v>0</v>
      </c>
      <c r="E23" s="62">
        <f t="shared" si="0"/>
        <v>20</v>
      </c>
    </row>
    <row r="24" spans="1:5" x14ac:dyDescent="0.25">
      <c r="A24" s="63">
        <v>23</v>
      </c>
      <c r="B24" s="62" t="str">
        <f>VLOOKUP(A24,Compras!$D:$E,2)</f>
        <v xml:space="preserve">FACTURAS DE MANTECA </v>
      </c>
      <c r="C24" s="62">
        <f>SUMIFS(Compras!$G:$G,Compras!$D:$D,Inventario!A24)</f>
        <v>20</v>
      </c>
      <c r="D24" s="62">
        <f>SUMIFS(Registrovta!$F:$F,Registrovta!$D:$D,Inventario!A24)</f>
        <v>1</v>
      </c>
      <c r="E24" s="62">
        <f t="shared" si="0"/>
        <v>19</v>
      </c>
    </row>
    <row r="25" spans="1:5" x14ac:dyDescent="0.25">
      <c r="A25" s="63">
        <v>24</v>
      </c>
      <c r="B25" s="62" t="str">
        <f>VLOOKUP(A25,Compras!$D:$E,2)</f>
        <v>FACTURASDE HOJALDRE</v>
      </c>
      <c r="C25" s="62">
        <f>SUMIFS(Compras!$G:$G,Compras!$D:$D,Inventario!A25)</f>
        <v>20</v>
      </c>
      <c r="D25" s="62">
        <f>SUMIFS(Registrovta!$F:$F,Registrovta!$D:$D,Inventario!A25)</f>
        <v>0</v>
      </c>
      <c r="E25" s="62">
        <f t="shared" si="0"/>
        <v>20</v>
      </c>
    </row>
    <row r="26" spans="1:5" x14ac:dyDescent="0.25">
      <c r="A26" s="63">
        <v>25</v>
      </c>
      <c r="B26" s="62" t="str">
        <f>VLOOKUP(A26,Compras!$D:$E,2)</f>
        <v>FACTURAS ROSQUITOS</v>
      </c>
      <c r="C26" s="62">
        <f>SUMIFS(Compras!$G:$G,Compras!$D:$D,Inventario!A26)</f>
        <v>20</v>
      </c>
      <c r="D26" s="62">
        <f>SUMIFS(Registrovta!$F:$F,Registrovta!$D:$D,Inventario!A26)</f>
        <v>0</v>
      </c>
      <c r="E26" s="62">
        <f t="shared" si="0"/>
        <v>20</v>
      </c>
    </row>
    <row r="27" spans="1:5" x14ac:dyDescent="0.25">
      <c r="A27" s="63">
        <v>26</v>
      </c>
      <c r="B27" s="62" t="str">
        <f>VLOOKUP(A27,Compras!$D:$E,2)</f>
        <v>FACTURA BOLSA DIA ANTERIOR</v>
      </c>
      <c r="C27" s="62">
        <f>SUMIFS(Compras!$G:$G,Compras!$D:$D,Inventario!A27)</f>
        <v>20</v>
      </c>
      <c r="D27" s="62">
        <f>SUMIFS(Registrovta!$F:$F,Registrovta!$D:$D,Inventario!A27)</f>
        <v>0</v>
      </c>
      <c r="E27" s="62">
        <f t="shared" si="0"/>
        <v>20</v>
      </c>
    </row>
    <row r="28" spans="1:5" x14ac:dyDescent="0.25">
      <c r="A28" s="63">
        <v>27</v>
      </c>
      <c r="B28" s="62" t="str">
        <f>VLOOKUP(A28,Compras!$D:$E,2)</f>
        <v>TARTA DE COCO X DOC</v>
      </c>
      <c r="C28" s="62">
        <f>SUMIFS(Compras!$G:$G,Compras!$D:$D,Inventario!A28)</f>
        <v>20</v>
      </c>
      <c r="D28" s="62">
        <f>SUMIFS(Registrovta!$F:$F,Registrovta!$D:$D,Inventario!A28)</f>
        <v>0</v>
      </c>
      <c r="E28" s="62">
        <f t="shared" si="0"/>
        <v>20</v>
      </c>
    </row>
    <row r="29" spans="1:5" x14ac:dyDescent="0.25">
      <c r="A29" s="62">
        <v>28</v>
      </c>
      <c r="B29" s="62" t="str">
        <f>VLOOKUP(A29,Compras!$D:$E,2)</f>
        <v>TARTA DE RICOTA X DOC</v>
      </c>
      <c r="C29" s="62">
        <f>SUMIFS(Compras!$G:$G,Compras!$D:$D,Inventario!A29)</f>
        <v>20</v>
      </c>
      <c r="D29" s="62">
        <f>SUMIFS(Registrovta!$F:$F,Registrovta!$D:$D,Inventario!A29)</f>
        <v>0</v>
      </c>
      <c r="E29" s="62">
        <f t="shared" si="0"/>
        <v>20</v>
      </c>
    </row>
    <row r="30" spans="1:5" x14ac:dyDescent="0.25">
      <c r="A30" s="63">
        <v>29</v>
      </c>
      <c r="B30" s="62" t="str">
        <f>VLOOKUP(A30,Compras!$D:$E,2)</f>
        <v>TARTA DE MANZANA X DOC</v>
      </c>
      <c r="C30" s="62">
        <f>SUMIFS(Compras!$G:$G,Compras!$D:$D,Inventario!A30)</f>
        <v>20</v>
      </c>
      <c r="D30" s="62">
        <f>SUMIFS(Registrovta!$F:$F,Registrovta!$D:$D,Inventario!A30)</f>
        <v>0</v>
      </c>
      <c r="E30" s="62">
        <f t="shared" si="0"/>
        <v>20</v>
      </c>
    </row>
    <row r="31" spans="1:5" x14ac:dyDescent="0.25">
      <c r="A31" s="63">
        <v>30</v>
      </c>
      <c r="B31" s="62" t="str">
        <f>VLOOKUP(A31,Compras!$D:$E,2)</f>
        <v>PASTELITOS</v>
      </c>
      <c r="C31" s="62">
        <f>SUMIFS(Compras!$G:$G,Compras!$D:$D,Inventario!A31)</f>
        <v>20</v>
      </c>
      <c r="D31" s="62">
        <f>SUMIFS(Registrovta!$F:$F,Registrovta!$D:$D,Inventario!A31)</f>
        <v>0</v>
      </c>
      <c r="E31" s="62">
        <f t="shared" si="0"/>
        <v>20</v>
      </c>
    </row>
    <row r="32" spans="1:5" x14ac:dyDescent="0.25">
      <c r="A32" s="63">
        <v>31</v>
      </c>
      <c r="B32" s="62" t="str">
        <f>VLOOKUP(A32,Compras!$D:$E,2)</f>
        <v>MASA SECAS X K</v>
      </c>
      <c r="C32" s="62">
        <f>SUMIFS(Compras!$G:$G,Compras!$D:$D,Inventario!A32)</f>
        <v>20</v>
      </c>
      <c r="D32" s="62">
        <f>SUMIFS(Registrovta!$F:$F,Registrovta!$D:$D,Inventario!A32)</f>
        <v>0</v>
      </c>
      <c r="E32" s="62">
        <f t="shared" si="0"/>
        <v>20</v>
      </c>
    </row>
    <row r="33" spans="1:5" x14ac:dyDescent="0.25">
      <c r="A33" s="63">
        <v>32</v>
      </c>
      <c r="B33" s="62" t="str">
        <f>VLOOKUP(A33,Compras!$D:$E,2)</f>
        <v>ALFAJOR DE MAICENA(CHICO) X K</v>
      </c>
      <c r="C33" s="62">
        <f>SUMIFS(Compras!$G:$G,Compras!$D:$D,Inventario!A33)</f>
        <v>20</v>
      </c>
      <c r="D33" s="62">
        <f>SUMIFS(Registrovta!$F:$F,Registrovta!$D:$D,Inventario!A33)</f>
        <v>0</v>
      </c>
      <c r="E33" s="62">
        <f t="shared" si="0"/>
        <v>20</v>
      </c>
    </row>
    <row r="34" spans="1:5" x14ac:dyDescent="0.25">
      <c r="A34" s="63">
        <v>33</v>
      </c>
      <c r="B34" s="62" t="str">
        <f>VLOOKUP(A34,Compras!$D:$E,2)</f>
        <v>ALFAJOR DE MAICENA(GRANDE) X DOC</v>
      </c>
      <c r="C34" s="62">
        <f>SUMIFS(Compras!$G:$G,Compras!$D:$D,Inventario!A34)</f>
        <v>20</v>
      </c>
      <c r="D34" s="62">
        <f>SUMIFS(Registrovta!$F:$F,Registrovta!$D:$D,Inventario!A34)</f>
        <v>0</v>
      </c>
      <c r="E34" s="62">
        <f t="shared" si="0"/>
        <v>20</v>
      </c>
    </row>
    <row r="35" spans="1:5" x14ac:dyDescent="0.25">
      <c r="A35" s="63">
        <v>34</v>
      </c>
      <c r="B35" s="62" t="str">
        <f>VLOOKUP(A35,Compras!$D:$E,2)</f>
        <v>ALFAJOR DE MIEL X DOC</v>
      </c>
      <c r="C35" s="62">
        <f>SUMIFS(Compras!$G:$G,Compras!$D:$D,Inventario!A35)</f>
        <v>20</v>
      </c>
      <c r="D35" s="62">
        <f>SUMIFS(Registrovta!$F:$F,Registrovta!$D:$D,Inventario!A35)</f>
        <v>0</v>
      </c>
      <c r="E35" s="62">
        <f t="shared" si="0"/>
        <v>20</v>
      </c>
    </row>
    <row r="36" spans="1:5" x14ac:dyDescent="0.25">
      <c r="A36" s="63">
        <v>35</v>
      </c>
      <c r="B36" s="62" t="str">
        <f>VLOOKUP(A36,Compras!$D:$E,2)</f>
        <v>ALFAJOR DE CHOCOLATE X  U.</v>
      </c>
      <c r="C36" s="62">
        <f>SUMIFS(Compras!$G:$G,Compras!$D:$D,Inventario!A36)</f>
        <v>20</v>
      </c>
      <c r="D36" s="62">
        <f>SUMIFS(Registrovta!$F:$F,Registrovta!$D:$D,Inventario!A36)</f>
        <v>0</v>
      </c>
      <c r="E36" s="62">
        <f t="shared" si="0"/>
        <v>20</v>
      </c>
    </row>
    <row r="37" spans="1:5" x14ac:dyDescent="0.25">
      <c r="A37" s="63">
        <v>36</v>
      </c>
      <c r="B37" s="62" t="str">
        <f>VLOOKUP(A37,Compras!$D:$E,2)</f>
        <v>MARINERA BLANCA S/SAL X K</v>
      </c>
      <c r="C37" s="62">
        <f>SUMIFS(Compras!$G:$G,Compras!$D:$D,Inventario!A37)</f>
        <v>20</v>
      </c>
      <c r="D37" s="62">
        <f>SUMIFS(Registrovta!$F:$F,Registrovta!$D:$D,Inventario!A37)</f>
        <v>0</v>
      </c>
      <c r="E37" s="62">
        <f t="shared" si="0"/>
        <v>20</v>
      </c>
    </row>
    <row r="38" spans="1:5" x14ac:dyDescent="0.25">
      <c r="A38" s="62">
        <v>37</v>
      </c>
      <c r="B38" s="62" t="str">
        <f>VLOOKUP(A38,Compras!$D:$E,2)</f>
        <v>MARINERA BLANCA C/SAL X K</v>
      </c>
      <c r="C38" s="62">
        <f>SUMIFS(Compras!$G:$G,Compras!$D:$D,Inventario!A38)</f>
        <v>20</v>
      </c>
      <c r="D38" s="62">
        <f>SUMIFS(Registrovta!$F:$F,Registrovta!$D:$D,Inventario!A38)</f>
        <v>0</v>
      </c>
      <c r="E38" s="62">
        <f t="shared" si="0"/>
        <v>20</v>
      </c>
    </row>
    <row r="39" spans="1:5" x14ac:dyDescent="0.25">
      <c r="A39" s="63">
        <v>38</v>
      </c>
      <c r="B39" s="62" t="str">
        <f>VLOOKUP(A39,Compras!$D:$E,2)</f>
        <v>MARINERA DE SALVADO S/SAL X K</v>
      </c>
      <c r="C39" s="62">
        <f>SUMIFS(Compras!$G:$G,Compras!$D:$D,Inventario!A39)</f>
        <v>20</v>
      </c>
      <c r="D39" s="62">
        <f>SUMIFS(Registrovta!$F:$F,Registrovta!$D:$D,Inventario!A39)</f>
        <v>0</v>
      </c>
      <c r="E39" s="62">
        <f t="shared" si="0"/>
        <v>20</v>
      </c>
    </row>
    <row r="40" spans="1:5" x14ac:dyDescent="0.25">
      <c r="A40" s="63">
        <v>39</v>
      </c>
      <c r="B40" s="62" t="str">
        <f>VLOOKUP(A40,Compras!$D:$E,2)</f>
        <v>MARINERA DE SALVADO C/SAL X K</v>
      </c>
      <c r="C40" s="62">
        <f>SUMIFS(Compras!$G:$G,Compras!$D:$D,Inventario!A40)</f>
        <v>20</v>
      </c>
      <c r="D40" s="62">
        <f>SUMIFS(Registrovta!$F:$F,Registrovta!$D:$D,Inventario!A40)</f>
        <v>0</v>
      </c>
      <c r="E40" s="62">
        <f t="shared" si="0"/>
        <v>20</v>
      </c>
    </row>
    <row r="41" spans="1:5" x14ac:dyDescent="0.25">
      <c r="A41" s="63">
        <v>40</v>
      </c>
      <c r="B41" s="62" t="str">
        <f>VLOOKUP(A41,Compras!$D:$E,2)</f>
        <v>GRISINES S/SEMILLAS X K</v>
      </c>
      <c r="C41" s="62">
        <f>SUMIFS(Compras!$G:$G,Compras!$D:$D,Inventario!A41)</f>
        <v>20</v>
      </c>
      <c r="D41" s="62">
        <f>SUMIFS(Registrovta!$F:$F,Registrovta!$D:$D,Inventario!A41)</f>
        <v>0</v>
      </c>
      <c r="E41" s="62">
        <f t="shared" si="0"/>
        <v>20</v>
      </c>
    </row>
    <row r="42" spans="1:5" x14ac:dyDescent="0.25">
      <c r="A42" s="63">
        <v>41</v>
      </c>
      <c r="B42" s="62" t="str">
        <f>VLOOKUP(A42,Compras!$D:$E,2)</f>
        <v>GRISINES C/SEMILLAS X K</v>
      </c>
      <c r="C42" s="62">
        <f>SUMIFS(Compras!$G:$G,Compras!$D:$D,Inventario!A42)</f>
        <v>20</v>
      </c>
      <c r="D42" s="62">
        <f>SUMIFS(Registrovta!$F:$F,Registrovta!$D:$D,Inventario!A42)</f>
        <v>0</v>
      </c>
      <c r="E42" s="62">
        <f t="shared" si="0"/>
        <v>20</v>
      </c>
    </row>
    <row r="43" spans="1:5" x14ac:dyDescent="0.25">
      <c r="A43" s="63">
        <v>42</v>
      </c>
      <c r="B43" s="62" t="str">
        <f>VLOOKUP(A43,Compras!$D:$E,2)</f>
        <v>GRISINES DE SALVADO S/SAL X K</v>
      </c>
      <c r="C43" s="62">
        <f>SUMIFS(Compras!$G:$G,Compras!$D:$D,Inventario!A43)</f>
        <v>20</v>
      </c>
      <c r="D43" s="62">
        <f>SUMIFS(Registrovta!$F:$F,Registrovta!$D:$D,Inventario!A43)</f>
        <v>0</v>
      </c>
      <c r="E43" s="62">
        <f t="shared" si="0"/>
        <v>20</v>
      </c>
    </row>
    <row r="44" spans="1:5" x14ac:dyDescent="0.25">
      <c r="A44" s="63">
        <v>43</v>
      </c>
      <c r="B44" s="62" t="str">
        <f>VLOOKUP(A44,Compras!$D:$E,2)</f>
        <v>GRISINES DE SALVADO C/SAL X K</v>
      </c>
      <c r="C44" s="62">
        <f>SUMIFS(Compras!$G:$G,Compras!$D:$D,Inventario!A44)</f>
        <v>20</v>
      </c>
      <c r="D44" s="62">
        <f>SUMIFS(Registrovta!$F:$F,Registrovta!$D:$D,Inventario!A44)</f>
        <v>0</v>
      </c>
      <c r="E44" s="62">
        <f t="shared" si="0"/>
        <v>20</v>
      </c>
    </row>
    <row r="45" spans="1:5" x14ac:dyDescent="0.25">
      <c r="A45" s="63">
        <v>44</v>
      </c>
      <c r="B45" s="62" t="str">
        <f>VLOOKUP(A45,Compras!$D:$E,2)</f>
        <v>TOSTADAS C/GLUTEN Y SAL X K</v>
      </c>
      <c r="C45" s="62">
        <f>SUMIFS(Compras!$G:$G,Compras!$D:$D,Inventario!A45)</f>
        <v>20</v>
      </c>
      <c r="D45" s="62">
        <f>SUMIFS(Registrovta!$F:$F,Registrovta!$D:$D,Inventario!A45)</f>
        <v>0</v>
      </c>
      <c r="E45" s="62">
        <f t="shared" si="0"/>
        <v>20</v>
      </c>
    </row>
    <row r="46" spans="1:5" x14ac:dyDescent="0.25">
      <c r="A46" s="63">
        <v>45</v>
      </c>
      <c r="B46" s="62" t="str">
        <f>VLOOKUP(A46,Compras!$D:$E,2)</f>
        <v>TOSTADAS SEMIDULCE X K</v>
      </c>
      <c r="C46" s="62">
        <f>SUMIFS(Compras!$G:$G,Compras!$D:$D,Inventario!A46)</f>
        <v>20</v>
      </c>
      <c r="D46" s="62">
        <f>SUMIFS(Registrovta!$F:$F,Registrovta!$D:$D,Inventario!A46)</f>
        <v>0</v>
      </c>
      <c r="E46" s="62">
        <f t="shared" si="0"/>
        <v>20</v>
      </c>
    </row>
    <row r="47" spans="1:5" x14ac:dyDescent="0.25">
      <c r="A47" s="62">
        <v>46</v>
      </c>
      <c r="B47" s="62" t="str">
        <f>VLOOKUP(A47,Compras!$D:$E,2)</f>
        <v>BUISCUIT</v>
      </c>
      <c r="C47" s="62">
        <f>SUMIFS(Compras!$G:$G,Compras!$D:$D,Inventario!A47)</f>
        <v>20</v>
      </c>
      <c r="D47" s="62">
        <f>SUMIFS(Registrovta!$F:$F,Registrovta!$D:$D,Inventario!A47)</f>
        <v>0</v>
      </c>
      <c r="E47" s="62">
        <f t="shared" si="0"/>
        <v>20</v>
      </c>
    </row>
    <row r="48" spans="1:5" x14ac:dyDescent="0.25">
      <c r="A48" s="63">
        <v>47</v>
      </c>
      <c r="B48" s="62" t="str">
        <f>VLOOKUP(A48,Compras!$D:$E,2)</f>
        <v>SANDWICH DE MIGA JAMON Y QUESO X DOC</v>
      </c>
      <c r="C48" s="62">
        <f>SUMIFS(Compras!$G:$G,Compras!$D:$D,Inventario!A48)</f>
        <v>20</v>
      </c>
      <c r="D48" s="62">
        <f>SUMIFS(Registrovta!$F:$F,Registrovta!$D:$D,Inventario!A48)</f>
        <v>0</v>
      </c>
      <c r="E48" s="62">
        <f t="shared" si="0"/>
        <v>20</v>
      </c>
    </row>
    <row r="49" spans="1:5" x14ac:dyDescent="0.25">
      <c r="A49" s="63">
        <v>48</v>
      </c>
      <c r="B49" s="62" t="str">
        <f>VLOOKUP(A49,Compras!$D:$E,2)</f>
        <v>SANDWICH DE MIGA VERDURA X DOC</v>
      </c>
      <c r="C49" s="62">
        <f>SUMIFS(Compras!$G:$G,Compras!$D:$D,Inventario!A49)</f>
        <v>20</v>
      </c>
      <c r="D49" s="62">
        <f>SUMIFS(Registrovta!$F:$F,Registrovta!$D:$D,Inventario!A49)</f>
        <v>0</v>
      </c>
      <c r="E49" s="62">
        <f t="shared" si="0"/>
        <v>20</v>
      </c>
    </row>
    <row r="50" spans="1:5" x14ac:dyDescent="0.25">
      <c r="A50" s="63">
        <v>49</v>
      </c>
      <c r="B50" s="62" t="str">
        <f>VLOOKUP(A50,Compras!$D:$E,2)</f>
        <v>SANDWICH DE MIGA SALAME X DOC</v>
      </c>
      <c r="C50" s="62">
        <f>SUMIFS(Compras!$G:$G,Compras!$D:$D,Inventario!A50)</f>
        <v>20</v>
      </c>
      <c r="D50" s="62">
        <f>SUMIFS(Registrovta!$F:$F,Registrovta!$D:$D,Inventario!A50)</f>
        <v>0</v>
      </c>
      <c r="E50" s="62">
        <f t="shared" si="0"/>
        <v>20</v>
      </c>
    </row>
    <row r="51" spans="1:5" x14ac:dyDescent="0.25">
      <c r="A51" s="63">
        <v>50</v>
      </c>
      <c r="B51" s="62" t="str">
        <f>VLOOKUP(A51,Compras!$D:$E,2)</f>
        <v>SANDWICH DE MIGA JAMON CRUDO X DOC</v>
      </c>
      <c r="C51" s="62">
        <f>SUMIFS(Compras!$G:$G,Compras!$D:$D,Inventario!A51)</f>
        <v>20</v>
      </c>
      <c r="D51" s="62">
        <f>SUMIFS(Registrovta!$F:$F,Registrovta!$D:$D,Inventario!A51)</f>
        <v>0</v>
      </c>
      <c r="E51" s="62">
        <f t="shared" si="0"/>
        <v>20</v>
      </c>
    </row>
    <row r="52" spans="1:5" x14ac:dyDescent="0.25">
      <c r="A52" s="63">
        <v>51</v>
      </c>
      <c r="B52" s="62" t="str">
        <f>VLOOKUP(A52,Compras!$D:$E,2)</f>
        <v>SANDWICH DE MIGA PAN NEGRO JAMON Y QUESOX DOC</v>
      </c>
      <c r="C52" s="62">
        <f>SUMIFS(Compras!$G:$G,Compras!$D:$D,Inventario!A52)</f>
        <v>20</v>
      </c>
      <c r="D52" s="62">
        <f>SUMIFS(Registrovta!$F:$F,Registrovta!$D:$D,Inventario!A52)</f>
        <v>0</v>
      </c>
      <c r="E52" s="62">
        <f t="shared" si="0"/>
        <v>20</v>
      </c>
    </row>
    <row r="53" spans="1:5" x14ac:dyDescent="0.25">
      <c r="A53" s="63">
        <v>52</v>
      </c>
      <c r="B53" s="62" t="str">
        <f>VLOOKUP(A53,Compras!$D:$E,2)</f>
        <v>EMPANADAS DE CARNE X DOC</v>
      </c>
      <c r="C53" s="62">
        <f>SUMIFS(Compras!$G:$G,Compras!$D:$D,Inventario!A53)</f>
        <v>20</v>
      </c>
      <c r="D53" s="62">
        <f>SUMIFS(Registrovta!$F:$F,Registrovta!$D:$D,Inventario!A53)</f>
        <v>0</v>
      </c>
      <c r="E53" s="62">
        <f t="shared" si="0"/>
        <v>20</v>
      </c>
    </row>
    <row r="54" spans="1:5" x14ac:dyDescent="0.25">
      <c r="A54" s="63">
        <v>53</v>
      </c>
      <c r="B54" s="62" t="str">
        <f>VLOOKUP(A54,Compras!$D:$E,2)</f>
        <v>EMPANADAS DE JAMON Y QUESO X DOC</v>
      </c>
      <c r="C54" s="62">
        <f>SUMIFS(Compras!$G:$G,Compras!$D:$D,Inventario!A54)</f>
        <v>20</v>
      </c>
      <c r="D54" s="62">
        <f>SUMIFS(Registrovta!$F:$F,Registrovta!$D:$D,Inventario!A54)</f>
        <v>0</v>
      </c>
      <c r="E54" s="62">
        <f t="shared" si="0"/>
        <v>20</v>
      </c>
    </row>
    <row r="55" spans="1:5" x14ac:dyDescent="0.25">
      <c r="A55" s="63">
        <v>54</v>
      </c>
      <c r="B55" s="62" t="str">
        <f>VLOOKUP(A55,Compras!$D:$E,2)</f>
        <v>EMPANADAS DE VERDURAS X DOC</v>
      </c>
      <c r="C55" s="62">
        <f>SUMIFS(Compras!$G:$G,Compras!$D:$D,Inventario!A55)</f>
        <v>20</v>
      </c>
      <c r="D55" s="62">
        <f>SUMIFS(Registrovta!$F:$F,Registrovta!$D:$D,Inventario!A55)</f>
        <v>0</v>
      </c>
      <c r="E55" s="62">
        <f t="shared" si="0"/>
        <v>20</v>
      </c>
    </row>
    <row r="56" spans="1:5" x14ac:dyDescent="0.25">
      <c r="A56" s="62">
        <v>55</v>
      </c>
      <c r="B56" s="62" t="str">
        <f>VLOOKUP(A56,Compras!$D:$E,2)</f>
        <v>EMPANADAS DE POLLO  X DOC</v>
      </c>
      <c r="C56" s="62">
        <f>SUMIFS(Compras!$G:$G,Compras!$D:$D,Inventario!A56)</f>
        <v>20</v>
      </c>
      <c r="D56" s="62">
        <f>SUMIFS(Registrovta!$F:$F,Registrovta!$D:$D,Inventario!A56)</f>
        <v>0</v>
      </c>
      <c r="E56" s="62">
        <f t="shared" si="0"/>
        <v>20</v>
      </c>
    </row>
    <row r="57" spans="1:5" x14ac:dyDescent="0.25">
      <c r="B57" s="62" t="e">
        <f>VLOOKUP(A57,Compras!$D:$E,2)</f>
        <v>#N/A</v>
      </c>
      <c r="C57" s="62">
        <f>SUMIFS(Compras!$G:$G,Compras!$D:$D,Inventario!A57)</f>
        <v>0</v>
      </c>
      <c r="D57" s="62">
        <f>SUMIFS(Registrovta!$F:$F,Registrovta!$D:$D,Inventario!A57)</f>
        <v>0</v>
      </c>
      <c r="E57" s="62">
        <f t="shared" si="0"/>
        <v>0</v>
      </c>
    </row>
    <row r="58" spans="1:5" x14ac:dyDescent="0.25">
      <c r="B58" s="62" t="e">
        <f>VLOOKUP(A58,Compras!$D:$E,2)</f>
        <v>#N/A</v>
      </c>
      <c r="C58" s="62">
        <f>SUMIFS(Compras!$G:$G,Compras!$D:$D,Inventario!A58)</f>
        <v>0</v>
      </c>
      <c r="D58" s="62">
        <f>SUMIFS(Registrovta!$F:$F,Registrovta!$D:$D,Inventario!A58)</f>
        <v>0</v>
      </c>
      <c r="E58" s="62">
        <f t="shared" si="0"/>
        <v>0</v>
      </c>
    </row>
    <row r="59" spans="1:5" x14ac:dyDescent="0.25">
      <c r="B59" s="62" t="e">
        <f>VLOOKUP(A59,Compras!$D:$E,2)</f>
        <v>#N/A</v>
      </c>
      <c r="C59" s="62">
        <f>SUMIFS(Compras!$G:$G,Compras!$D:$D,Inventario!A59)</f>
        <v>0</v>
      </c>
      <c r="D59" s="62">
        <f>SUMIFS(Registrovta!$F:$F,Registrovta!$D:$D,Inventario!A59)</f>
        <v>0</v>
      </c>
      <c r="E59" s="62">
        <f t="shared" si="0"/>
        <v>0</v>
      </c>
    </row>
    <row r="60" spans="1:5" x14ac:dyDescent="0.25">
      <c r="B60" s="62" t="e">
        <f>VLOOKUP(A60,Compras!$D:$E,2)</f>
        <v>#N/A</v>
      </c>
      <c r="C60" s="62">
        <f>SUMIFS(Compras!$G:$G,Compras!$D:$D,Inventario!A60)</f>
        <v>0</v>
      </c>
      <c r="D60" s="62">
        <f>SUMIFS(Registrovta!$F:$F,Registrovta!$D:$D,Inventario!A60)</f>
        <v>0</v>
      </c>
      <c r="E60" s="62">
        <f t="shared" si="0"/>
        <v>0</v>
      </c>
    </row>
    <row r="61" spans="1:5" x14ac:dyDescent="0.25">
      <c r="B61" s="62" t="e">
        <f>VLOOKUP(A61,Compras!$D:$E,2)</f>
        <v>#N/A</v>
      </c>
      <c r="C61" s="62">
        <f>SUMIFS(Compras!$G:$G,Compras!$D:$D,Inventario!A61)</f>
        <v>0</v>
      </c>
      <c r="D61" s="62">
        <f>SUMIFS(Registrovta!$F:$F,Registrovta!$D:$D,Inventario!A61)</f>
        <v>0</v>
      </c>
      <c r="E61" s="62">
        <f t="shared" si="0"/>
        <v>0</v>
      </c>
    </row>
    <row r="62" spans="1:5" x14ac:dyDescent="0.25">
      <c r="B62" s="62" t="e">
        <f>VLOOKUP(A62,Compras!$D:$E,2)</f>
        <v>#N/A</v>
      </c>
      <c r="C62" s="62">
        <f>SUMIFS(Compras!$G:$G,Compras!$D:$D,Inventario!A62)</f>
        <v>0</v>
      </c>
      <c r="D62" s="62">
        <f>SUMIFS(Registrovta!$F:$F,Registrovta!$D:$D,Inventario!A62)</f>
        <v>0</v>
      </c>
      <c r="E62" s="62">
        <f t="shared" si="0"/>
        <v>0</v>
      </c>
    </row>
    <row r="63" spans="1:5" x14ac:dyDescent="0.25">
      <c r="B63" s="62" t="e">
        <f>VLOOKUP(A63,Compras!$D:$E,2)</f>
        <v>#N/A</v>
      </c>
      <c r="C63" s="62">
        <f>SUMIFS(Compras!$G:$G,Compras!$D:$D,Inventario!A63)</f>
        <v>0</v>
      </c>
      <c r="D63" s="62">
        <f>SUMIFS(Registrovta!$F:$F,Registrovta!$D:$D,Inventario!A63)</f>
        <v>0</v>
      </c>
      <c r="E63" s="62">
        <f t="shared" si="0"/>
        <v>0</v>
      </c>
    </row>
    <row r="64" spans="1:5" x14ac:dyDescent="0.25">
      <c r="B64" s="62" t="e">
        <f>VLOOKUP(A64,Compras!$D:$E,2)</f>
        <v>#N/A</v>
      </c>
      <c r="C64" s="62">
        <f>SUMIFS(Compras!$G:$G,Compras!$D:$D,Inventario!A64)</f>
        <v>0</v>
      </c>
      <c r="D64" s="62">
        <f>SUMIFS(Registrovta!$F:$F,Registrovta!$D:$D,Inventario!A64)</f>
        <v>0</v>
      </c>
      <c r="E64" s="62">
        <f t="shared" si="0"/>
        <v>0</v>
      </c>
    </row>
    <row r="65" spans="1:9" x14ac:dyDescent="0.25">
      <c r="A65" s="62"/>
      <c r="B65" s="62" t="e">
        <f>VLOOKUP(A65,Compras!$D:$E,2)</f>
        <v>#N/A</v>
      </c>
      <c r="C65" s="62">
        <f>SUMIFS(Compras!$G:$G,Compras!$D:$D,Inventario!A65)</f>
        <v>0</v>
      </c>
      <c r="D65" s="62">
        <f>SUMIFS(Registrovta!$F:$F,Registrovta!$D:$D,Inventario!A65)</f>
        <v>0</v>
      </c>
      <c r="E65" s="62">
        <f t="shared" si="0"/>
        <v>0</v>
      </c>
    </row>
    <row r="66" spans="1:9" x14ac:dyDescent="0.25">
      <c r="B66" s="62" t="e">
        <f>VLOOKUP(A66,Compras!$D:$E,2)</f>
        <v>#N/A</v>
      </c>
      <c r="C66" s="62">
        <f>SUMIFS(Compras!$G:$G,Compras!$D:$D,Inventario!A66)</f>
        <v>0</v>
      </c>
      <c r="D66" s="62">
        <f>SUMIFS(Registrovta!$F:$F,Registrovta!$D:$D,Inventario!A66)</f>
        <v>0</v>
      </c>
      <c r="E66" s="62">
        <f t="shared" si="0"/>
        <v>0</v>
      </c>
    </row>
    <row r="67" spans="1:9" x14ac:dyDescent="0.25">
      <c r="B67" s="62" t="e">
        <f>VLOOKUP(A67,Compras!$D:$E,2)</f>
        <v>#N/A</v>
      </c>
      <c r="C67" s="62">
        <f>SUMIFS(Compras!$G:$G,Compras!$D:$D,Inventario!A67)</f>
        <v>0</v>
      </c>
      <c r="D67" s="62">
        <f>SUMIFS(Registrovta!$F:$F,Registrovta!$D:$D,Inventario!A67)</f>
        <v>0</v>
      </c>
      <c r="E67" s="62">
        <f t="shared" ref="E67:E100" si="1">C67-D67</f>
        <v>0</v>
      </c>
      <c r="I67" s="64"/>
    </row>
    <row r="68" spans="1:9" x14ac:dyDescent="0.25">
      <c r="B68" s="62" t="e">
        <f>VLOOKUP(A68,Compras!$D:$E,2)</f>
        <v>#N/A</v>
      </c>
      <c r="C68" s="62">
        <f>SUMIFS(Compras!$G:$G,Compras!$D:$D,Inventario!A68)</f>
        <v>0</v>
      </c>
      <c r="D68" s="62">
        <f>SUMIFS(Registrovta!$F:$F,Registrovta!$D:$D,Inventario!A68)</f>
        <v>0</v>
      </c>
      <c r="E68" s="62">
        <f t="shared" si="1"/>
        <v>0</v>
      </c>
      <c r="I68" s="64"/>
    </row>
    <row r="69" spans="1:9" x14ac:dyDescent="0.25">
      <c r="B69" s="62" t="e">
        <f>VLOOKUP(A69,Compras!$D:$E,2)</f>
        <v>#N/A</v>
      </c>
      <c r="C69" s="62">
        <f>SUMIFS(Compras!$G:$G,Compras!$D:$D,Inventario!A69)</f>
        <v>0</v>
      </c>
      <c r="D69" s="62">
        <f>SUMIFS(Registrovta!$F:$F,Registrovta!$D:$D,Inventario!A69)</f>
        <v>0</v>
      </c>
      <c r="E69" s="62">
        <f t="shared" si="1"/>
        <v>0</v>
      </c>
      <c r="I69" s="64"/>
    </row>
    <row r="70" spans="1:9" x14ac:dyDescent="0.25">
      <c r="B70" s="62" t="e">
        <f>VLOOKUP(A70,Compras!$D:$E,2)</f>
        <v>#N/A</v>
      </c>
      <c r="C70" s="62">
        <f>SUMIFS(Compras!$G:$G,Compras!$D:$D,Inventario!A70)</f>
        <v>0</v>
      </c>
      <c r="D70" s="62">
        <f>SUMIFS(Registrovta!$F:$F,Registrovta!$D:$D,Inventario!A70)</f>
        <v>0</v>
      </c>
      <c r="E70" s="62">
        <f t="shared" si="1"/>
        <v>0</v>
      </c>
    </row>
    <row r="71" spans="1:9" x14ac:dyDescent="0.25">
      <c r="B71" s="62" t="e">
        <f>VLOOKUP(A71,Compras!$D:$E,2)</f>
        <v>#N/A</v>
      </c>
      <c r="C71" s="62">
        <f>SUMIFS(Compras!$G:$G,Compras!$D:$D,Inventario!A71)</f>
        <v>0</v>
      </c>
      <c r="D71" s="62">
        <f>SUMIFS(Registrovta!$F:$F,Registrovta!$D:$D,Inventario!A71)</f>
        <v>0</v>
      </c>
      <c r="E71" s="62">
        <f t="shared" si="1"/>
        <v>0</v>
      </c>
    </row>
    <row r="72" spans="1:9" x14ac:dyDescent="0.25">
      <c r="B72" s="62" t="e">
        <f>VLOOKUP(A72,Compras!$D:$E,2)</f>
        <v>#N/A</v>
      </c>
      <c r="C72" s="62">
        <f>SUMIFS(Compras!$G:$G,Compras!$D:$D,Inventario!A72)</f>
        <v>0</v>
      </c>
      <c r="D72" s="62">
        <f>SUMIFS(Registrovta!$F:$F,Registrovta!$D:$D,Inventario!A72)</f>
        <v>0</v>
      </c>
      <c r="E72" s="62">
        <f t="shared" si="1"/>
        <v>0</v>
      </c>
    </row>
    <row r="73" spans="1:9" x14ac:dyDescent="0.25">
      <c r="B73" s="62" t="e">
        <f>VLOOKUP(A73,Compras!$D:$E,2)</f>
        <v>#N/A</v>
      </c>
      <c r="C73" s="62">
        <f>SUMIFS(Compras!$G:$G,Compras!$D:$D,Inventario!A73)</f>
        <v>0</v>
      </c>
      <c r="D73" s="62">
        <f>SUMIFS(Registrovta!$F:$F,Registrovta!$D:$D,Inventario!A73)</f>
        <v>0</v>
      </c>
      <c r="E73" s="62">
        <f t="shared" si="1"/>
        <v>0</v>
      </c>
    </row>
    <row r="74" spans="1:9" x14ac:dyDescent="0.25">
      <c r="A74" s="62"/>
      <c r="B74" s="62" t="e">
        <f>VLOOKUP(A74,Compras!$D:$E,2)</f>
        <v>#N/A</v>
      </c>
      <c r="C74" s="62">
        <f>SUMIFS(Compras!$G:$G,Compras!$D:$D,Inventario!A74)</f>
        <v>0</v>
      </c>
      <c r="D74" s="62">
        <f>SUMIFS(Registrovta!$F:$F,Registrovta!$D:$D,Inventario!A74)</f>
        <v>0</v>
      </c>
      <c r="E74" s="62">
        <f t="shared" si="1"/>
        <v>0</v>
      </c>
    </row>
    <row r="75" spans="1:9" x14ac:dyDescent="0.25">
      <c r="B75" s="62" t="e">
        <f>VLOOKUP(A75,Compras!$D:$E,2)</f>
        <v>#N/A</v>
      </c>
      <c r="C75" s="62">
        <f>SUMIFS(Compras!$G:$G,Compras!$D:$D,Inventario!A75)</f>
        <v>0</v>
      </c>
      <c r="D75" s="62">
        <f>SUMIFS(Registrovta!$F:$F,Registrovta!$D:$D,Inventario!A75)</f>
        <v>0</v>
      </c>
      <c r="E75" s="62">
        <f t="shared" si="1"/>
        <v>0</v>
      </c>
    </row>
    <row r="76" spans="1:9" x14ac:dyDescent="0.25">
      <c r="B76" s="62" t="e">
        <f>VLOOKUP(A76,Compras!$D:$E,2)</f>
        <v>#N/A</v>
      </c>
      <c r="C76" s="62">
        <f>SUMIFS(Compras!$G:$G,Compras!$D:$D,Inventario!A76)</f>
        <v>0</v>
      </c>
      <c r="D76" s="62">
        <f>SUMIFS(Registrovta!$F:$F,Registrovta!$D:$D,Inventario!A76)</f>
        <v>0</v>
      </c>
      <c r="E76" s="62">
        <f t="shared" si="1"/>
        <v>0</v>
      </c>
    </row>
    <row r="77" spans="1:9" x14ac:dyDescent="0.25">
      <c r="B77" s="62" t="e">
        <f>VLOOKUP(A77,Compras!$D:$E,2)</f>
        <v>#N/A</v>
      </c>
      <c r="C77" s="62">
        <f>SUMIFS(Compras!$G:$G,Compras!$D:$D,Inventario!A77)</f>
        <v>0</v>
      </c>
      <c r="D77" s="62">
        <f>SUMIFS(Registrovta!$F:$F,Registrovta!$D:$D,Inventario!A77)</f>
        <v>0</v>
      </c>
      <c r="E77" s="62">
        <f t="shared" si="1"/>
        <v>0</v>
      </c>
    </row>
    <row r="78" spans="1:9" x14ac:dyDescent="0.25">
      <c r="B78" s="62" t="e">
        <f>VLOOKUP(A78,Compras!$D:$E,2)</f>
        <v>#N/A</v>
      </c>
      <c r="C78" s="62">
        <f>SUMIFS(Compras!$G:$G,Compras!$D:$D,Inventario!A78)</f>
        <v>0</v>
      </c>
      <c r="D78" s="62">
        <f>SUMIFS(Registrovta!$F:$F,Registrovta!$D:$D,Inventario!A78)</f>
        <v>0</v>
      </c>
      <c r="E78" s="62">
        <f t="shared" si="1"/>
        <v>0</v>
      </c>
    </row>
    <row r="79" spans="1:9" x14ac:dyDescent="0.25">
      <c r="B79" s="62" t="e">
        <f>VLOOKUP(A79,Compras!$D:$E,2)</f>
        <v>#N/A</v>
      </c>
      <c r="C79" s="62">
        <f>SUMIFS(Compras!$G:$G,Compras!$D:$D,Inventario!A79)</f>
        <v>0</v>
      </c>
      <c r="D79" s="62">
        <f>SUMIFS(Registrovta!$F:$F,Registrovta!$D:$D,Inventario!A79)</f>
        <v>0</v>
      </c>
      <c r="E79" s="62">
        <f t="shared" si="1"/>
        <v>0</v>
      </c>
    </row>
    <row r="80" spans="1:9" x14ac:dyDescent="0.25">
      <c r="B80" s="62" t="e">
        <f>VLOOKUP(A80,Compras!$D:$E,2)</f>
        <v>#N/A</v>
      </c>
      <c r="C80" s="62">
        <f>SUMIFS(Compras!$G:$G,Compras!$D:$D,Inventario!A80)</f>
        <v>0</v>
      </c>
      <c r="D80" s="62">
        <f>SUMIFS(Registrovta!$F:$F,Registrovta!$D:$D,Inventario!A80)</f>
        <v>0</v>
      </c>
      <c r="E80" s="62">
        <f t="shared" si="1"/>
        <v>0</v>
      </c>
    </row>
    <row r="81" spans="1:5" x14ac:dyDescent="0.25">
      <c r="B81" s="62" t="e">
        <f>VLOOKUP(A81,Compras!$D:$E,2)</f>
        <v>#N/A</v>
      </c>
      <c r="C81" s="62">
        <f>SUMIFS(Compras!$G:$G,Compras!$D:$D,Inventario!A81)</f>
        <v>0</v>
      </c>
      <c r="D81" s="62">
        <f>SUMIFS(Registrovta!$F:$F,Registrovta!$D:$D,Inventario!A81)</f>
        <v>0</v>
      </c>
      <c r="E81" s="62">
        <f t="shared" si="1"/>
        <v>0</v>
      </c>
    </row>
    <row r="82" spans="1:5" x14ac:dyDescent="0.25">
      <c r="B82" s="62" t="e">
        <f>VLOOKUP(A82,Compras!$D:$E,2)</f>
        <v>#N/A</v>
      </c>
      <c r="C82" s="62">
        <f>SUMIFS(Compras!$G:$G,Compras!$D:$D,Inventario!A82)</f>
        <v>0</v>
      </c>
      <c r="D82" s="62">
        <f>SUMIFS(Registrovta!$F:$F,Registrovta!$D:$D,Inventario!A82)</f>
        <v>0</v>
      </c>
      <c r="E82" s="62">
        <f t="shared" si="1"/>
        <v>0</v>
      </c>
    </row>
    <row r="83" spans="1:5" x14ac:dyDescent="0.25">
      <c r="A83" s="62"/>
      <c r="B83" s="62" t="e">
        <f>VLOOKUP(A83,Compras!$D:$E,2)</f>
        <v>#N/A</v>
      </c>
      <c r="C83" s="62">
        <f>SUMIFS(Compras!$G:$G,Compras!$D:$D,Inventario!A83)</f>
        <v>0</v>
      </c>
      <c r="D83" s="62">
        <f>SUMIFS(Registrovta!$F:$F,Registrovta!$D:$D,Inventario!A83)</f>
        <v>0</v>
      </c>
      <c r="E83" s="62">
        <f t="shared" si="1"/>
        <v>0</v>
      </c>
    </row>
    <row r="84" spans="1:5" x14ac:dyDescent="0.25">
      <c r="B84" s="62" t="e">
        <f>VLOOKUP(A84,Compras!$D:$E,2)</f>
        <v>#N/A</v>
      </c>
      <c r="C84" s="62">
        <f>SUMIFS(Compras!$G:$G,Compras!$D:$D,Inventario!A84)</f>
        <v>0</v>
      </c>
      <c r="D84" s="62">
        <f>SUMIFS(Registrovta!$F:$F,Registrovta!$D:$D,Inventario!A84)</f>
        <v>0</v>
      </c>
      <c r="E84" s="62">
        <f t="shared" si="1"/>
        <v>0</v>
      </c>
    </row>
    <row r="85" spans="1:5" x14ac:dyDescent="0.25">
      <c r="B85" s="62" t="e">
        <f>VLOOKUP(A85,Compras!$D:$E,2)</f>
        <v>#N/A</v>
      </c>
      <c r="C85" s="62">
        <f>SUMIFS(Compras!$G:$G,Compras!$D:$D,Inventario!A85)</f>
        <v>0</v>
      </c>
      <c r="D85" s="62">
        <f>SUMIFS(Registrovta!$F:$F,Registrovta!$D:$D,Inventario!A85)</f>
        <v>0</v>
      </c>
      <c r="E85" s="62">
        <f t="shared" si="1"/>
        <v>0</v>
      </c>
    </row>
    <row r="86" spans="1:5" x14ac:dyDescent="0.25">
      <c r="B86" s="62" t="e">
        <f>VLOOKUP(A86,Compras!$D:$E,2)</f>
        <v>#N/A</v>
      </c>
      <c r="C86" s="62">
        <f>SUMIFS(Compras!$G:$G,Compras!$D:$D,Inventario!A86)</f>
        <v>0</v>
      </c>
      <c r="D86" s="62">
        <f>SUMIFS(Registrovta!$F:$F,Registrovta!$D:$D,Inventario!A86)</f>
        <v>0</v>
      </c>
      <c r="E86" s="62">
        <f t="shared" si="1"/>
        <v>0</v>
      </c>
    </row>
    <row r="87" spans="1:5" x14ac:dyDescent="0.25">
      <c r="B87" s="62" t="e">
        <f>VLOOKUP(A87,Compras!$D:$E,2)</f>
        <v>#N/A</v>
      </c>
      <c r="C87" s="62">
        <f>SUMIFS(Compras!$G:$G,Compras!$D:$D,Inventario!A87)</f>
        <v>0</v>
      </c>
      <c r="D87" s="62">
        <f>SUMIFS(Registrovta!$F:$F,Registrovta!$D:$D,Inventario!A87)</f>
        <v>0</v>
      </c>
      <c r="E87" s="62">
        <f t="shared" si="1"/>
        <v>0</v>
      </c>
    </row>
    <row r="88" spans="1:5" x14ac:dyDescent="0.25">
      <c r="B88" s="62" t="e">
        <f>VLOOKUP(A88,Compras!$D:$E,2)</f>
        <v>#N/A</v>
      </c>
      <c r="C88" s="62">
        <f>SUMIFS(Compras!$G:$G,Compras!$D:$D,Inventario!A88)</f>
        <v>0</v>
      </c>
      <c r="D88" s="62">
        <f>SUMIFS(Registrovta!$F:$F,Registrovta!$D:$D,Inventario!A88)</f>
        <v>0</v>
      </c>
      <c r="E88" s="62">
        <f t="shared" si="1"/>
        <v>0</v>
      </c>
    </row>
    <row r="89" spans="1:5" x14ac:dyDescent="0.25">
      <c r="B89" s="62" t="e">
        <f>VLOOKUP(A89,Compras!$D:$E,2)</f>
        <v>#N/A</v>
      </c>
      <c r="C89" s="62">
        <f>SUMIFS(Compras!$G:$G,Compras!$D:$D,Inventario!A89)</f>
        <v>0</v>
      </c>
      <c r="D89" s="62">
        <f>SUMIFS(Registrovta!$F:$F,Registrovta!$D:$D,Inventario!A89)</f>
        <v>0</v>
      </c>
      <c r="E89" s="62">
        <f t="shared" si="1"/>
        <v>0</v>
      </c>
    </row>
    <row r="90" spans="1:5" x14ac:dyDescent="0.25">
      <c r="B90" s="62" t="e">
        <f>VLOOKUP(A90,Compras!$D:$E,2)</f>
        <v>#N/A</v>
      </c>
      <c r="C90" s="62">
        <f>SUMIFS(Compras!$G:$G,Compras!$D:$D,Inventario!A90)</f>
        <v>0</v>
      </c>
      <c r="D90" s="62">
        <f>SUMIFS(Registrovta!$F:$F,Registrovta!$D:$D,Inventario!A90)</f>
        <v>0</v>
      </c>
      <c r="E90" s="62">
        <f t="shared" si="1"/>
        <v>0</v>
      </c>
    </row>
    <row r="91" spans="1:5" x14ac:dyDescent="0.25">
      <c r="B91" s="62" t="e">
        <f>VLOOKUP(A91,Compras!$D:$E,2)</f>
        <v>#N/A</v>
      </c>
      <c r="C91" s="62">
        <f>SUMIFS(Compras!$G:$G,Compras!$D:$D,Inventario!A91)</f>
        <v>0</v>
      </c>
      <c r="D91" s="62">
        <f>SUMIFS(Registrovta!$F:$F,Registrovta!$D:$D,Inventario!A91)</f>
        <v>0</v>
      </c>
      <c r="E91" s="62">
        <f t="shared" si="1"/>
        <v>0</v>
      </c>
    </row>
    <row r="92" spans="1:5" x14ac:dyDescent="0.25">
      <c r="A92" s="62"/>
      <c r="B92" s="62" t="e">
        <f>VLOOKUP(A92,Compras!$D:$E,2)</f>
        <v>#N/A</v>
      </c>
      <c r="C92" s="62">
        <f>SUMIFS(Compras!$G:$G,Compras!$D:$D,Inventario!A92)</f>
        <v>0</v>
      </c>
      <c r="D92" s="62">
        <f>SUMIFS(Registrovta!$F:$F,Registrovta!$D:$D,Inventario!A92)</f>
        <v>0</v>
      </c>
      <c r="E92" s="62">
        <f t="shared" si="1"/>
        <v>0</v>
      </c>
    </row>
    <row r="93" spans="1:5" x14ac:dyDescent="0.25">
      <c r="B93" s="62" t="e">
        <f>VLOOKUP(A93,Compras!$D:$E,2)</f>
        <v>#N/A</v>
      </c>
      <c r="C93" s="62">
        <f>SUMIFS(Compras!$G:$G,Compras!$D:$D,Inventario!A93)</f>
        <v>0</v>
      </c>
      <c r="D93" s="62">
        <f>SUMIFS(Registrovta!$F:$F,Registrovta!$D:$D,Inventario!A93)</f>
        <v>0</v>
      </c>
      <c r="E93" s="62">
        <f t="shared" si="1"/>
        <v>0</v>
      </c>
    </row>
    <row r="94" spans="1:5" x14ac:dyDescent="0.25">
      <c r="B94" s="62" t="e">
        <f>VLOOKUP(A94,Compras!$D:$E,2)</f>
        <v>#N/A</v>
      </c>
      <c r="C94" s="62">
        <f>SUMIFS(Compras!$G:$G,Compras!$D:$D,Inventario!A94)</f>
        <v>0</v>
      </c>
      <c r="D94" s="62">
        <f>SUMIFS(Registrovta!$F:$F,Registrovta!$D:$D,Inventario!A94)</f>
        <v>0</v>
      </c>
      <c r="E94" s="62">
        <f t="shared" si="1"/>
        <v>0</v>
      </c>
    </row>
    <row r="95" spans="1:5" x14ac:dyDescent="0.25">
      <c r="B95" s="62" t="e">
        <f>VLOOKUP(A95,Compras!$D:$E,2)</f>
        <v>#N/A</v>
      </c>
      <c r="C95" s="62">
        <f>SUMIFS(Compras!$G:$G,Compras!$D:$D,Inventario!A95)</f>
        <v>0</v>
      </c>
      <c r="D95" s="62">
        <f>SUMIFS(Registrovta!$F:$F,Registrovta!$D:$D,Inventario!A95)</f>
        <v>0</v>
      </c>
      <c r="E95" s="62">
        <f t="shared" si="1"/>
        <v>0</v>
      </c>
    </row>
    <row r="96" spans="1:5" x14ac:dyDescent="0.25">
      <c r="B96" s="62" t="e">
        <f>VLOOKUP(A96,Compras!$D:$E,2)</f>
        <v>#N/A</v>
      </c>
      <c r="C96" s="62">
        <f>SUMIFS(Compras!$G:$G,Compras!$D:$D,Inventario!A96)</f>
        <v>0</v>
      </c>
      <c r="D96" s="62">
        <f>SUMIFS(Registrovta!$F:$F,Registrovta!$D:$D,Inventario!A96)</f>
        <v>0</v>
      </c>
      <c r="E96" s="62">
        <f t="shared" si="1"/>
        <v>0</v>
      </c>
    </row>
    <row r="97" spans="1:5" x14ac:dyDescent="0.25">
      <c r="B97" s="62" t="e">
        <f>VLOOKUP(A97,Compras!$D:$E,2)</f>
        <v>#N/A</v>
      </c>
      <c r="C97" s="62">
        <f>SUMIFS(Compras!$G:$G,Compras!$D:$D,Inventario!A97)</f>
        <v>0</v>
      </c>
      <c r="D97" s="62">
        <f>SUMIFS(Registrovta!$F:$F,Registrovta!$D:$D,Inventario!A97)</f>
        <v>0</v>
      </c>
      <c r="E97" s="62">
        <f t="shared" si="1"/>
        <v>0</v>
      </c>
    </row>
    <row r="98" spans="1:5" x14ac:dyDescent="0.25">
      <c r="B98" s="62" t="e">
        <f>VLOOKUP(A98,Compras!$D:$E,2)</f>
        <v>#N/A</v>
      </c>
      <c r="C98" s="62">
        <f>SUMIFS(Compras!$G:$G,Compras!$D:$D,Inventario!A98)</f>
        <v>0</v>
      </c>
      <c r="D98" s="62">
        <f>SUMIFS(Registrovta!$F:$F,Registrovta!$D:$D,Inventario!A98)</f>
        <v>0</v>
      </c>
      <c r="E98" s="62">
        <f t="shared" si="1"/>
        <v>0</v>
      </c>
    </row>
    <row r="99" spans="1:5" x14ac:dyDescent="0.25">
      <c r="B99" s="62" t="e">
        <f>VLOOKUP(A99,Compras!$D:$E,2)</f>
        <v>#N/A</v>
      </c>
      <c r="C99" s="62">
        <f>SUMIFS(Compras!$G:$G,Compras!$D:$D,Inventario!A99)</f>
        <v>0</v>
      </c>
      <c r="D99" s="62">
        <f>SUMIFS(Registrovta!$F:$F,Registrovta!$D:$D,Inventario!A99)</f>
        <v>0</v>
      </c>
      <c r="E99" s="62">
        <f t="shared" si="1"/>
        <v>0</v>
      </c>
    </row>
    <row r="100" spans="1:5" x14ac:dyDescent="0.25">
      <c r="B100" s="62" t="e">
        <f>VLOOKUP(A100,Compras!$D:$E,2)</f>
        <v>#N/A</v>
      </c>
      <c r="C100" s="62">
        <f>SUMIFS(Compras!$G:$G,Compras!$D:$D,Inventario!A100)</f>
        <v>0</v>
      </c>
      <c r="D100" s="62">
        <f>SUMIFS(Registrovta!$F:$F,Registrovta!$D:$D,Inventario!A100)</f>
        <v>0</v>
      </c>
      <c r="E100" s="62">
        <f t="shared" si="1"/>
        <v>0</v>
      </c>
    </row>
    <row r="101" spans="1:5" x14ac:dyDescent="0.25">
      <c r="A101" s="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2" tint="-0.499984740745262"/>
  </sheetPr>
  <dimension ref="A1:M56"/>
  <sheetViews>
    <sheetView showGridLines="0" tabSelected="1" topLeftCell="C1" workbookViewId="0">
      <selection activeCell="F2" sqref="F2:F5"/>
    </sheetView>
  </sheetViews>
  <sheetFormatPr baseColWidth="10" defaultRowHeight="15.75" x14ac:dyDescent="0.25"/>
  <cols>
    <col min="1" max="1" width="11" style="67"/>
    <col min="2" max="2" width="7.625" style="70" customWidth="1"/>
    <col min="3" max="3" width="12.625" style="67" customWidth="1"/>
    <col min="4" max="4" width="11" style="70"/>
    <col min="5" max="5" width="44.875" style="67" bestFit="1" customWidth="1"/>
    <col min="6" max="6" width="11" style="67"/>
    <col min="7" max="7" width="12.125" style="67" customWidth="1"/>
    <col min="8" max="8" width="15.625" style="63" bestFit="1" customWidth="1"/>
    <col min="9" max="9" width="12.875" style="63" bestFit="1" customWidth="1"/>
    <col min="10" max="10" width="11" style="48"/>
    <col min="14" max="16384" width="11" style="48"/>
  </cols>
  <sheetData>
    <row r="1" spans="1:9" s="129" customFormat="1" ht="60" customHeight="1" thickBot="1" x14ac:dyDescent="0.3">
      <c r="A1" s="130" t="s">
        <v>95</v>
      </c>
      <c r="B1" s="131" t="s">
        <v>96</v>
      </c>
      <c r="C1" s="131" t="s">
        <v>97</v>
      </c>
      <c r="D1" s="131" t="s">
        <v>96</v>
      </c>
      <c r="E1" s="131" t="s">
        <v>98</v>
      </c>
      <c r="F1" s="131" t="s">
        <v>99</v>
      </c>
      <c r="G1" s="132" t="s">
        <v>67</v>
      </c>
      <c r="H1" s="133" t="s">
        <v>100</v>
      </c>
      <c r="I1" s="132" t="s">
        <v>101</v>
      </c>
    </row>
    <row r="2" spans="1:9" x14ac:dyDescent="0.25">
      <c r="A2" s="65">
        <v>41228</v>
      </c>
      <c r="B2" s="66">
        <v>1</v>
      </c>
      <c r="C2" s="67" t="str">
        <f>VLOOKUP(B2,proveedores!$AK:$AL,2)</f>
        <v>MORENO</v>
      </c>
      <c r="D2" s="66">
        <v>1</v>
      </c>
      <c r="E2" s="62" t="s">
        <v>90</v>
      </c>
      <c r="F2" s="62">
        <v>13</v>
      </c>
      <c r="G2" s="68">
        <v>20</v>
      </c>
      <c r="H2" s="62">
        <v>40</v>
      </c>
      <c r="I2" s="62">
        <f>ROUND(((F2*H2/100)+F2),0)</f>
        <v>18</v>
      </c>
    </row>
    <row r="3" spans="1:9" x14ac:dyDescent="0.25">
      <c r="A3" s="69">
        <v>41229</v>
      </c>
      <c r="B3" s="70">
        <v>1</v>
      </c>
      <c r="C3" s="67" t="str">
        <f>VLOOKUP(B3,proveedores!$AK:$AL,2)</f>
        <v>MORENO</v>
      </c>
      <c r="D3" s="70">
        <v>2</v>
      </c>
      <c r="E3" s="63" t="s">
        <v>87</v>
      </c>
      <c r="F3" s="63">
        <v>13</v>
      </c>
      <c r="G3" s="68">
        <v>20</v>
      </c>
      <c r="H3" s="63">
        <v>40</v>
      </c>
      <c r="I3" s="62">
        <f t="shared" ref="I3:I5" si="0">ROUND(((F3*H3/100)+F3),0)</f>
        <v>18</v>
      </c>
    </row>
    <row r="4" spans="1:9" x14ac:dyDescent="0.25">
      <c r="A4" s="69">
        <v>41230</v>
      </c>
      <c r="B4" s="70">
        <v>1</v>
      </c>
      <c r="C4" s="67" t="str">
        <f>VLOOKUP(B4,proveedores!$AK:$AL,2)</f>
        <v>MORENO</v>
      </c>
      <c r="D4" s="70">
        <v>3</v>
      </c>
      <c r="E4" s="63" t="s">
        <v>86</v>
      </c>
      <c r="F4" s="63">
        <v>13</v>
      </c>
      <c r="G4" s="68">
        <v>20</v>
      </c>
      <c r="H4" s="63">
        <v>40</v>
      </c>
      <c r="I4" s="62">
        <f t="shared" si="0"/>
        <v>18</v>
      </c>
    </row>
    <row r="5" spans="1:9" x14ac:dyDescent="0.25">
      <c r="A5" s="69">
        <v>41231</v>
      </c>
      <c r="B5" s="70">
        <v>1</v>
      </c>
      <c r="C5" s="67" t="str">
        <f>VLOOKUP(B5,proveedores!$AK:$AL,2)</f>
        <v>MORENO</v>
      </c>
      <c r="D5" s="70">
        <v>4</v>
      </c>
      <c r="E5" s="63" t="s">
        <v>72</v>
      </c>
      <c r="F5" s="63">
        <v>13</v>
      </c>
      <c r="G5" s="68">
        <v>20</v>
      </c>
      <c r="H5" s="63">
        <v>40</v>
      </c>
      <c r="I5" s="62">
        <f t="shared" si="0"/>
        <v>18</v>
      </c>
    </row>
    <row r="6" spans="1:9" x14ac:dyDescent="0.25">
      <c r="A6" s="69">
        <v>41232</v>
      </c>
      <c r="B6" s="70">
        <v>1</v>
      </c>
      <c r="C6" s="67" t="str">
        <f>VLOOKUP(B6,proveedores!$AK:$AL,2)</f>
        <v>MORENO</v>
      </c>
      <c r="D6" s="70">
        <v>5</v>
      </c>
      <c r="E6" s="63" t="s">
        <v>102</v>
      </c>
      <c r="F6" s="63">
        <v>6.5</v>
      </c>
      <c r="G6" s="68">
        <v>20</v>
      </c>
      <c r="H6" s="63">
        <v>40</v>
      </c>
      <c r="I6" s="62">
        <f>ROUND(((F6*H6/100)+F6),0)</f>
        <v>9</v>
      </c>
    </row>
    <row r="7" spans="1:9" x14ac:dyDescent="0.25">
      <c r="A7" s="69">
        <v>41233</v>
      </c>
      <c r="B7" s="70">
        <v>1</v>
      </c>
      <c r="C7" s="67" t="str">
        <f>VLOOKUP(B7,proveedores!$AK:$AL,2)</f>
        <v>MORENO</v>
      </c>
      <c r="D7" s="70">
        <v>6</v>
      </c>
      <c r="E7" s="63" t="s">
        <v>74</v>
      </c>
      <c r="F7" s="63">
        <v>6.5</v>
      </c>
      <c r="G7" s="68">
        <v>20</v>
      </c>
      <c r="H7" s="63">
        <v>40</v>
      </c>
      <c r="I7" s="62">
        <f>ROUND(((F7*H7/100)+F7),0)</f>
        <v>9</v>
      </c>
    </row>
    <row r="8" spans="1:9" x14ac:dyDescent="0.25">
      <c r="A8" s="69">
        <v>41234</v>
      </c>
      <c r="B8" s="70">
        <v>1</v>
      </c>
      <c r="C8" s="67" t="str">
        <f>VLOOKUP(B8,proveedores!$AK:$AL,2)</f>
        <v>MORENO</v>
      </c>
      <c r="D8" s="70">
        <v>7</v>
      </c>
      <c r="E8" s="63" t="s">
        <v>103</v>
      </c>
      <c r="F8" s="63">
        <v>6.8</v>
      </c>
      <c r="G8" s="68">
        <v>20</v>
      </c>
      <c r="H8" s="63">
        <v>40</v>
      </c>
      <c r="I8" s="62">
        <f>ROUND(((F8*H8/100)+F8),0)</f>
        <v>10</v>
      </c>
    </row>
    <row r="9" spans="1:9" x14ac:dyDescent="0.25">
      <c r="A9" s="69">
        <v>41235</v>
      </c>
      <c r="B9" s="70">
        <v>1</v>
      </c>
      <c r="C9" s="67" t="str">
        <f>VLOOKUP(B9,proveedores!$AK:$AL,2)</f>
        <v>MORENO</v>
      </c>
      <c r="D9" s="70">
        <v>8</v>
      </c>
      <c r="E9" s="63" t="s">
        <v>104</v>
      </c>
      <c r="F9" s="63">
        <v>0</v>
      </c>
      <c r="G9" s="68">
        <v>20</v>
      </c>
      <c r="H9" s="63">
        <v>40</v>
      </c>
      <c r="I9" s="62">
        <f t="shared" ref="I9" si="1">(F9*H9/100)+F9</f>
        <v>0</v>
      </c>
    </row>
    <row r="10" spans="1:9" x14ac:dyDescent="0.25">
      <c r="A10" s="69">
        <v>41236</v>
      </c>
      <c r="B10" s="70">
        <v>1</v>
      </c>
      <c r="C10" s="67" t="str">
        <f>VLOOKUP(B10,proveedores!$AK:$AL,2)</f>
        <v>MORENO</v>
      </c>
      <c r="D10" s="70">
        <v>9</v>
      </c>
      <c r="E10" s="63" t="s">
        <v>105</v>
      </c>
      <c r="F10" s="63">
        <v>6.5</v>
      </c>
      <c r="G10" s="68">
        <v>20</v>
      </c>
      <c r="H10" s="63">
        <v>40</v>
      </c>
      <c r="I10" s="62">
        <f>ROUND(((F10*H10/100)+F10),0)</f>
        <v>9</v>
      </c>
    </row>
    <row r="11" spans="1:9" x14ac:dyDescent="0.25">
      <c r="A11" s="69"/>
      <c r="B11" s="70">
        <v>1</v>
      </c>
      <c r="C11" s="67" t="str">
        <f>VLOOKUP(B11,proveedores!$AK:$AL,2)</f>
        <v>MORENO</v>
      </c>
      <c r="D11" s="70">
        <v>10</v>
      </c>
      <c r="E11" s="63" t="s">
        <v>106</v>
      </c>
      <c r="F11" s="63">
        <v>11.5</v>
      </c>
      <c r="G11" s="68">
        <v>20</v>
      </c>
      <c r="H11" s="63">
        <v>40</v>
      </c>
      <c r="I11" s="62">
        <f>ROUND(((F11*H11/100)+F11),0)</f>
        <v>16</v>
      </c>
    </row>
    <row r="12" spans="1:9" x14ac:dyDescent="0.25">
      <c r="A12" s="69"/>
      <c r="B12" s="70">
        <v>1</v>
      </c>
      <c r="C12" s="67" t="str">
        <f>VLOOKUP(B12,proveedores!$AK:$AL,2)</f>
        <v>MORENO</v>
      </c>
      <c r="D12" s="70">
        <v>11</v>
      </c>
      <c r="E12" s="63" t="s">
        <v>107</v>
      </c>
      <c r="F12" s="63">
        <v>23</v>
      </c>
      <c r="G12" s="68">
        <v>20</v>
      </c>
      <c r="H12" s="63">
        <v>40</v>
      </c>
      <c r="I12" s="62">
        <f t="shared" ref="I12:I56" si="2">ROUND(((F12*H12/100)+F12),0)</f>
        <v>32</v>
      </c>
    </row>
    <row r="13" spans="1:9" x14ac:dyDescent="0.25">
      <c r="A13" s="69"/>
      <c r="B13" s="70">
        <v>1</v>
      </c>
      <c r="C13" s="67" t="str">
        <f>VLOOKUP(B13,proveedores!$AK:$AL,2)</f>
        <v>MORENO</v>
      </c>
      <c r="D13" s="70">
        <v>12</v>
      </c>
      <c r="E13" s="63" t="s">
        <v>108</v>
      </c>
      <c r="F13" s="63">
        <v>20</v>
      </c>
      <c r="G13" s="68">
        <v>20</v>
      </c>
      <c r="H13" s="63">
        <v>40</v>
      </c>
      <c r="I13" s="62">
        <f t="shared" si="2"/>
        <v>28</v>
      </c>
    </row>
    <row r="14" spans="1:9" x14ac:dyDescent="0.25">
      <c r="A14" s="69"/>
      <c r="B14" s="70">
        <v>1</v>
      </c>
      <c r="C14" s="67" t="str">
        <f>VLOOKUP(B14,proveedores!$AK:$AL,2)</f>
        <v>MORENO</v>
      </c>
      <c r="D14" s="70">
        <v>13</v>
      </c>
      <c r="E14" s="63" t="s">
        <v>109</v>
      </c>
      <c r="F14" s="63">
        <v>33.5</v>
      </c>
      <c r="G14" s="68">
        <v>20</v>
      </c>
      <c r="H14" s="63">
        <v>40</v>
      </c>
      <c r="I14" s="62">
        <f t="shared" si="2"/>
        <v>47</v>
      </c>
    </row>
    <row r="15" spans="1:9" x14ac:dyDescent="0.25">
      <c r="A15" s="69"/>
      <c r="B15" s="70">
        <v>1</v>
      </c>
      <c r="C15" s="67" t="str">
        <f>VLOOKUP(B15,proveedores!$AK:$AL,2)</f>
        <v>MORENO</v>
      </c>
      <c r="D15" s="70">
        <v>14</v>
      </c>
      <c r="E15" s="63" t="s">
        <v>110</v>
      </c>
      <c r="F15" s="63">
        <v>6.8</v>
      </c>
      <c r="G15" s="68">
        <v>20</v>
      </c>
      <c r="H15" s="63">
        <v>40</v>
      </c>
      <c r="I15" s="62">
        <f t="shared" si="2"/>
        <v>10</v>
      </c>
    </row>
    <row r="16" spans="1:9" x14ac:dyDescent="0.25">
      <c r="A16" s="69"/>
      <c r="B16" s="70">
        <v>1</v>
      </c>
      <c r="C16" s="67" t="str">
        <f>VLOOKUP(B16,proveedores!$AK:$AL,2)</f>
        <v>MORENO</v>
      </c>
      <c r="D16" s="70">
        <v>15</v>
      </c>
      <c r="E16" s="63" t="s">
        <v>111</v>
      </c>
      <c r="F16" s="63">
        <v>10</v>
      </c>
      <c r="G16" s="68">
        <v>20</v>
      </c>
      <c r="H16" s="63">
        <v>40</v>
      </c>
      <c r="I16" s="62">
        <f t="shared" si="2"/>
        <v>14</v>
      </c>
    </row>
    <row r="17" spans="1:9" x14ac:dyDescent="0.25">
      <c r="A17" s="69"/>
      <c r="B17" s="70">
        <v>1</v>
      </c>
      <c r="C17" s="67" t="str">
        <f>VLOOKUP(B17,proveedores!$AK:$AL,2)</f>
        <v>MORENO</v>
      </c>
      <c r="D17" s="70">
        <v>16</v>
      </c>
      <c r="E17" s="63" t="s">
        <v>112</v>
      </c>
      <c r="F17" s="63">
        <v>32</v>
      </c>
      <c r="G17" s="68">
        <v>20</v>
      </c>
      <c r="H17" s="63">
        <v>40</v>
      </c>
      <c r="I17" s="62">
        <f t="shared" si="2"/>
        <v>45</v>
      </c>
    </row>
    <row r="18" spans="1:9" x14ac:dyDescent="0.25">
      <c r="A18" s="69"/>
      <c r="B18" s="70">
        <v>1</v>
      </c>
      <c r="C18" s="67" t="str">
        <f>VLOOKUP(B18,proveedores!$AK:$AL,2)</f>
        <v>MORENO</v>
      </c>
      <c r="D18" s="70">
        <v>17</v>
      </c>
      <c r="E18" s="67" t="s">
        <v>88</v>
      </c>
      <c r="F18" s="67">
        <v>17.5</v>
      </c>
      <c r="G18" s="68">
        <v>20</v>
      </c>
      <c r="H18" s="63">
        <v>40</v>
      </c>
      <c r="I18" s="62">
        <f t="shared" si="2"/>
        <v>25</v>
      </c>
    </row>
    <row r="19" spans="1:9" x14ac:dyDescent="0.25">
      <c r="A19" s="69"/>
      <c r="B19" s="70">
        <v>1</v>
      </c>
      <c r="C19" s="67" t="str">
        <f>VLOOKUP(B19,proveedores!$AK:$AL,2)</f>
        <v>MORENO</v>
      </c>
      <c r="D19" s="70">
        <v>18</v>
      </c>
      <c r="E19" s="67" t="s">
        <v>113</v>
      </c>
      <c r="F19" s="67">
        <v>17.5</v>
      </c>
      <c r="G19" s="68">
        <v>20</v>
      </c>
      <c r="H19" s="63">
        <v>40</v>
      </c>
      <c r="I19" s="62">
        <f t="shared" si="2"/>
        <v>25</v>
      </c>
    </row>
    <row r="20" spans="1:9" x14ac:dyDescent="0.25">
      <c r="A20" s="69"/>
      <c r="B20" s="70">
        <v>1</v>
      </c>
      <c r="C20" s="67" t="str">
        <f>VLOOKUP(B20,proveedores!$AK:$AL,2)</f>
        <v>MORENO</v>
      </c>
      <c r="D20" s="70">
        <v>19</v>
      </c>
      <c r="E20" s="67" t="s">
        <v>114</v>
      </c>
      <c r="F20" s="67">
        <v>17.5</v>
      </c>
      <c r="G20" s="68">
        <v>20</v>
      </c>
      <c r="H20" s="63">
        <v>40</v>
      </c>
      <c r="I20" s="62">
        <f t="shared" si="2"/>
        <v>25</v>
      </c>
    </row>
    <row r="21" spans="1:9" x14ac:dyDescent="0.25">
      <c r="A21" s="69"/>
      <c r="B21" s="70">
        <v>1</v>
      </c>
      <c r="C21" s="67" t="str">
        <f>VLOOKUP(B21,proveedores!$AK:$AL,2)</f>
        <v>MORENO</v>
      </c>
      <c r="D21" s="70">
        <v>20</v>
      </c>
      <c r="E21" s="67" t="s">
        <v>115</v>
      </c>
      <c r="F21" s="67">
        <v>17.5</v>
      </c>
      <c r="G21" s="68">
        <v>20</v>
      </c>
      <c r="H21" s="63">
        <v>40</v>
      </c>
      <c r="I21" s="62">
        <f t="shared" si="2"/>
        <v>25</v>
      </c>
    </row>
    <row r="22" spans="1:9" x14ac:dyDescent="0.25">
      <c r="A22" s="69"/>
      <c r="B22" s="70">
        <v>1</v>
      </c>
      <c r="C22" s="67" t="str">
        <f>VLOOKUP(B22,proveedores!$AK:$AL,2)</f>
        <v>MORENO</v>
      </c>
      <c r="D22" s="70">
        <v>21</v>
      </c>
      <c r="E22" s="67" t="s">
        <v>116</v>
      </c>
      <c r="F22" s="67">
        <v>6.5</v>
      </c>
      <c r="G22" s="68">
        <v>20</v>
      </c>
      <c r="H22" s="63">
        <v>40</v>
      </c>
      <c r="I22" s="62">
        <f t="shared" si="2"/>
        <v>9</v>
      </c>
    </row>
    <row r="23" spans="1:9" x14ac:dyDescent="0.25">
      <c r="A23" s="69"/>
      <c r="B23" s="70">
        <v>1</v>
      </c>
      <c r="C23" s="67" t="str">
        <f>VLOOKUP(B23,proveedores!$AK:$AL,2)</f>
        <v>MORENO</v>
      </c>
      <c r="D23" s="70">
        <v>22</v>
      </c>
      <c r="E23" s="67" t="s">
        <v>117</v>
      </c>
      <c r="F23" s="67">
        <v>16</v>
      </c>
      <c r="G23" s="68">
        <v>20</v>
      </c>
      <c r="H23" s="63">
        <v>40</v>
      </c>
      <c r="I23" s="62">
        <f t="shared" si="2"/>
        <v>22</v>
      </c>
    </row>
    <row r="24" spans="1:9" x14ac:dyDescent="0.25">
      <c r="A24" s="69"/>
      <c r="B24" s="70">
        <v>1</v>
      </c>
      <c r="C24" s="67" t="str">
        <f>VLOOKUP(B24,proveedores!$AK:$AL,2)</f>
        <v>MORENO</v>
      </c>
      <c r="D24" s="70">
        <v>23</v>
      </c>
      <c r="E24" s="67" t="s">
        <v>89</v>
      </c>
      <c r="F24" s="67">
        <v>27</v>
      </c>
      <c r="G24" s="68">
        <v>20</v>
      </c>
      <c r="H24" s="63">
        <v>40</v>
      </c>
      <c r="I24" s="62">
        <f t="shared" si="2"/>
        <v>38</v>
      </c>
    </row>
    <row r="25" spans="1:9" x14ac:dyDescent="0.25">
      <c r="A25" s="69"/>
      <c r="B25" s="70">
        <v>1</v>
      </c>
      <c r="C25" s="67" t="str">
        <f>VLOOKUP(B25,proveedores!$AK:$AL,2)</f>
        <v>MORENO</v>
      </c>
      <c r="D25" s="70">
        <v>24</v>
      </c>
      <c r="E25" s="67" t="s">
        <v>118</v>
      </c>
      <c r="F25" s="67">
        <v>32</v>
      </c>
      <c r="G25" s="68">
        <v>20</v>
      </c>
      <c r="H25" s="63">
        <v>40</v>
      </c>
      <c r="I25" s="62">
        <f t="shared" si="2"/>
        <v>45</v>
      </c>
    </row>
    <row r="26" spans="1:9" x14ac:dyDescent="0.25">
      <c r="A26" s="69"/>
      <c r="B26" s="70">
        <v>1</v>
      </c>
      <c r="C26" s="67" t="str">
        <f>VLOOKUP(B26,proveedores!$AK:$AL,2)</f>
        <v>MORENO</v>
      </c>
      <c r="D26" s="70">
        <v>25</v>
      </c>
      <c r="E26" s="67" t="s">
        <v>119</v>
      </c>
      <c r="F26" s="67">
        <v>27</v>
      </c>
      <c r="G26" s="68">
        <v>20</v>
      </c>
      <c r="H26" s="63">
        <v>40</v>
      </c>
      <c r="I26" s="62">
        <f t="shared" si="2"/>
        <v>38</v>
      </c>
    </row>
    <row r="27" spans="1:9" x14ac:dyDescent="0.25">
      <c r="A27" s="69"/>
      <c r="B27" s="70">
        <v>1</v>
      </c>
      <c r="C27" s="67" t="str">
        <f>VLOOKUP(B27,proveedores!$AK:$AL,2)</f>
        <v>MORENO</v>
      </c>
      <c r="D27" s="70">
        <v>26</v>
      </c>
      <c r="E27" s="67" t="s">
        <v>120</v>
      </c>
      <c r="F27" s="67">
        <v>7.5</v>
      </c>
      <c r="G27" s="68">
        <v>20</v>
      </c>
      <c r="H27" s="63">
        <v>40</v>
      </c>
      <c r="I27" s="62">
        <f t="shared" si="2"/>
        <v>11</v>
      </c>
    </row>
    <row r="28" spans="1:9" x14ac:dyDescent="0.25">
      <c r="A28" s="69"/>
      <c r="B28" s="70">
        <v>1</v>
      </c>
      <c r="C28" s="67" t="str">
        <f>VLOOKUP(B28,proveedores!$AK:$AL,2)</f>
        <v>MORENO</v>
      </c>
      <c r="D28" s="70">
        <v>27</v>
      </c>
      <c r="E28" s="67" t="s">
        <v>121</v>
      </c>
      <c r="F28" s="67">
        <v>32</v>
      </c>
      <c r="G28" s="68">
        <v>20</v>
      </c>
      <c r="H28" s="63">
        <v>40</v>
      </c>
      <c r="I28" s="62">
        <f t="shared" si="2"/>
        <v>45</v>
      </c>
    </row>
    <row r="29" spans="1:9" x14ac:dyDescent="0.25">
      <c r="A29" s="69"/>
      <c r="B29" s="70">
        <v>1</v>
      </c>
      <c r="C29" s="67" t="str">
        <f>VLOOKUP(B29,proveedores!$AK:$AL,2)</f>
        <v>MORENO</v>
      </c>
      <c r="D29" s="70">
        <v>28</v>
      </c>
      <c r="E29" s="67" t="s">
        <v>122</v>
      </c>
      <c r="F29" s="67">
        <v>32</v>
      </c>
      <c r="G29" s="68">
        <v>20</v>
      </c>
      <c r="H29" s="63">
        <v>40</v>
      </c>
      <c r="I29" s="62">
        <f t="shared" si="2"/>
        <v>45</v>
      </c>
    </row>
    <row r="30" spans="1:9" x14ac:dyDescent="0.25">
      <c r="A30" s="69"/>
      <c r="B30" s="70">
        <v>1</v>
      </c>
      <c r="C30" s="67" t="str">
        <f>VLOOKUP(B30,proveedores!$AK:$AL,2)</f>
        <v>MORENO</v>
      </c>
      <c r="D30" s="70">
        <v>29</v>
      </c>
      <c r="E30" s="67" t="s">
        <v>123</v>
      </c>
      <c r="F30" s="67">
        <v>32</v>
      </c>
      <c r="G30" s="68">
        <v>20</v>
      </c>
      <c r="H30" s="63">
        <v>40</v>
      </c>
      <c r="I30" s="62">
        <f t="shared" si="2"/>
        <v>45</v>
      </c>
    </row>
    <row r="31" spans="1:9" x14ac:dyDescent="0.25">
      <c r="B31" s="70">
        <v>28</v>
      </c>
      <c r="C31" s="67" t="str">
        <f>VLOOKUP(B31,proveedores!$AK:$AL,2)</f>
        <v>MORENO</v>
      </c>
      <c r="D31" s="70">
        <v>30</v>
      </c>
      <c r="E31" s="67" t="s">
        <v>124</v>
      </c>
      <c r="F31" s="67">
        <v>27</v>
      </c>
      <c r="G31" s="68">
        <v>20</v>
      </c>
      <c r="H31" s="63">
        <v>40</v>
      </c>
      <c r="I31" s="62">
        <f t="shared" si="2"/>
        <v>38</v>
      </c>
    </row>
    <row r="32" spans="1:9" x14ac:dyDescent="0.25">
      <c r="B32" s="70">
        <v>1</v>
      </c>
      <c r="C32" s="67" t="str">
        <f>VLOOKUP(B32,proveedores!$AK:$AL,2)</f>
        <v>MORENO</v>
      </c>
      <c r="D32" s="70">
        <v>31</v>
      </c>
      <c r="E32" s="67" t="s">
        <v>125</v>
      </c>
      <c r="F32" s="67">
        <v>50</v>
      </c>
      <c r="G32" s="68">
        <v>20</v>
      </c>
      <c r="H32" s="63">
        <v>40</v>
      </c>
      <c r="I32" s="62">
        <f t="shared" si="2"/>
        <v>70</v>
      </c>
    </row>
    <row r="33" spans="2:9" x14ac:dyDescent="0.25">
      <c r="B33" s="70">
        <v>1</v>
      </c>
      <c r="C33" s="67" t="str">
        <f>VLOOKUP(B33,proveedores!$AK:$AL,2)</f>
        <v>MORENO</v>
      </c>
      <c r="D33" s="70">
        <v>32</v>
      </c>
      <c r="E33" s="67" t="s">
        <v>126</v>
      </c>
      <c r="F33" s="67">
        <v>57</v>
      </c>
      <c r="G33" s="68">
        <v>20</v>
      </c>
      <c r="H33" s="63">
        <v>40</v>
      </c>
      <c r="I33" s="62">
        <f t="shared" si="2"/>
        <v>80</v>
      </c>
    </row>
    <row r="34" spans="2:9" x14ac:dyDescent="0.25">
      <c r="B34" s="70">
        <v>1</v>
      </c>
      <c r="C34" s="67" t="str">
        <f>VLOOKUP(B34,proveedores!$AK:$AL,2)</f>
        <v>MORENO</v>
      </c>
      <c r="D34" s="70">
        <v>33</v>
      </c>
      <c r="E34" s="67" t="s">
        <v>127</v>
      </c>
      <c r="F34" s="67">
        <v>32</v>
      </c>
      <c r="G34" s="68">
        <v>20</v>
      </c>
      <c r="H34" s="63">
        <v>40</v>
      </c>
      <c r="I34" s="62">
        <f t="shared" si="2"/>
        <v>45</v>
      </c>
    </row>
    <row r="35" spans="2:9" x14ac:dyDescent="0.25">
      <c r="B35" s="70">
        <v>1</v>
      </c>
      <c r="C35" s="67" t="str">
        <f>VLOOKUP(B35,proveedores!$AK:$AL,2)</f>
        <v>MORENO</v>
      </c>
      <c r="D35" s="70">
        <v>34</v>
      </c>
      <c r="E35" s="67" t="s">
        <v>128</v>
      </c>
      <c r="F35" s="67">
        <v>32</v>
      </c>
      <c r="G35" s="68">
        <v>20</v>
      </c>
      <c r="H35" s="63">
        <v>40</v>
      </c>
      <c r="I35" s="62">
        <f t="shared" si="2"/>
        <v>45</v>
      </c>
    </row>
    <row r="36" spans="2:9" x14ac:dyDescent="0.25">
      <c r="B36" s="70">
        <v>1</v>
      </c>
      <c r="C36" s="67" t="str">
        <f>VLOOKUP(B36,proveedores!$AK:$AL,2)</f>
        <v>MORENO</v>
      </c>
      <c r="D36" s="70">
        <v>35</v>
      </c>
      <c r="E36" s="67" t="s">
        <v>129</v>
      </c>
      <c r="F36" s="67">
        <v>64.5</v>
      </c>
      <c r="G36" s="68">
        <v>20</v>
      </c>
      <c r="H36" s="63">
        <v>40</v>
      </c>
      <c r="I36" s="62">
        <f t="shared" si="2"/>
        <v>90</v>
      </c>
    </row>
    <row r="37" spans="2:9" x14ac:dyDescent="0.25">
      <c r="B37" s="70">
        <v>1</v>
      </c>
      <c r="C37" s="67" t="str">
        <f>VLOOKUP(B37,proveedores!$AK:$AL,2)</f>
        <v>MORENO</v>
      </c>
      <c r="D37" s="70">
        <v>36</v>
      </c>
      <c r="E37" s="67" t="s">
        <v>130</v>
      </c>
      <c r="F37" s="67">
        <v>34.5</v>
      </c>
      <c r="G37" s="68">
        <v>20</v>
      </c>
      <c r="H37" s="63">
        <v>40</v>
      </c>
      <c r="I37" s="62">
        <f t="shared" si="2"/>
        <v>48</v>
      </c>
    </row>
    <row r="38" spans="2:9" x14ac:dyDescent="0.25">
      <c r="B38" s="70">
        <v>1</v>
      </c>
      <c r="C38" s="67" t="str">
        <f>VLOOKUP(B38,proveedores!$AK:$AL,2)</f>
        <v>MORENO</v>
      </c>
      <c r="D38" s="70">
        <v>37</v>
      </c>
      <c r="E38" s="67" t="s">
        <v>131</v>
      </c>
      <c r="F38" s="67">
        <v>34.5</v>
      </c>
      <c r="G38" s="68">
        <v>20</v>
      </c>
      <c r="H38" s="63">
        <v>40</v>
      </c>
      <c r="I38" s="62">
        <f t="shared" si="2"/>
        <v>48</v>
      </c>
    </row>
    <row r="39" spans="2:9" x14ac:dyDescent="0.25">
      <c r="B39" s="70">
        <v>1</v>
      </c>
      <c r="C39" s="67" t="str">
        <f>VLOOKUP(B39,proveedores!$AK:$AL,2)</f>
        <v>MORENO</v>
      </c>
      <c r="D39" s="70">
        <v>38</v>
      </c>
      <c r="E39" s="67" t="s">
        <v>132</v>
      </c>
      <c r="F39" s="67">
        <v>34.5</v>
      </c>
      <c r="G39" s="68">
        <v>20</v>
      </c>
      <c r="H39" s="63">
        <v>40</v>
      </c>
      <c r="I39" s="62">
        <f t="shared" si="2"/>
        <v>48</v>
      </c>
    </row>
    <row r="40" spans="2:9" x14ac:dyDescent="0.25">
      <c r="B40" s="70">
        <v>1</v>
      </c>
      <c r="C40" s="67" t="str">
        <f>VLOOKUP(B40,proveedores!$AK:$AL,2)</f>
        <v>MORENO</v>
      </c>
      <c r="D40" s="70">
        <v>39</v>
      </c>
      <c r="E40" s="67" t="s">
        <v>133</v>
      </c>
      <c r="F40" s="67">
        <v>34.5</v>
      </c>
      <c r="G40" s="68">
        <v>20</v>
      </c>
      <c r="H40" s="63">
        <v>40</v>
      </c>
      <c r="I40" s="62">
        <f t="shared" si="2"/>
        <v>48</v>
      </c>
    </row>
    <row r="41" spans="2:9" x14ac:dyDescent="0.25">
      <c r="B41" s="70">
        <v>1</v>
      </c>
      <c r="C41" s="67" t="str">
        <f>VLOOKUP(B41,proveedores!$AK:$AL,2)</f>
        <v>MORENO</v>
      </c>
      <c r="D41" s="70">
        <v>40</v>
      </c>
      <c r="E41" s="67" t="s">
        <v>134</v>
      </c>
      <c r="F41" s="67">
        <v>46.5</v>
      </c>
      <c r="G41" s="68">
        <v>20</v>
      </c>
      <c r="H41" s="63">
        <v>40</v>
      </c>
      <c r="I41" s="62">
        <f t="shared" si="2"/>
        <v>65</v>
      </c>
    </row>
    <row r="42" spans="2:9" x14ac:dyDescent="0.25">
      <c r="B42" s="70">
        <v>1</v>
      </c>
      <c r="C42" s="67" t="str">
        <f>VLOOKUP(B42,proveedores!$AK:$AL,2)</f>
        <v>MORENO</v>
      </c>
      <c r="D42" s="70">
        <v>41</v>
      </c>
      <c r="E42" s="67" t="s">
        <v>135</v>
      </c>
      <c r="F42" s="67">
        <v>34.5</v>
      </c>
      <c r="G42" s="68">
        <v>20</v>
      </c>
      <c r="H42" s="63">
        <v>40</v>
      </c>
      <c r="I42" s="62">
        <f t="shared" si="2"/>
        <v>48</v>
      </c>
    </row>
    <row r="43" spans="2:9" x14ac:dyDescent="0.25">
      <c r="B43" s="70">
        <v>1</v>
      </c>
      <c r="C43" s="67" t="str">
        <f>VLOOKUP(B43,proveedores!$AK:$AL,2)</f>
        <v>MORENO</v>
      </c>
      <c r="D43" s="70">
        <v>42</v>
      </c>
      <c r="E43" s="67" t="s">
        <v>136</v>
      </c>
      <c r="F43" s="67">
        <v>34.5</v>
      </c>
      <c r="G43" s="68">
        <v>20</v>
      </c>
      <c r="H43" s="63">
        <v>40</v>
      </c>
      <c r="I43" s="62">
        <f t="shared" si="2"/>
        <v>48</v>
      </c>
    </row>
    <row r="44" spans="2:9" x14ac:dyDescent="0.25">
      <c r="B44" s="70">
        <v>1</v>
      </c>
      <c r="C44" s="67" t="str">
        <f>VLOOKUP(B44,proveedores!$AK:$AL,2)</f>
        <v>MORENO</v>
      </c>
      <c r="D44" s="70">
        <v>43</v>
      </c>
      <c r="E44" s="67" t="s">
        <v>137</v>
      </c>
      <c r="F44" s="67">
        <v>34.5</v>
      </c>
      <c r="G44" s="68">
        <v>20</v>
      </c>
      <c r="H44" s="63">
        <v>40</v>
      </c>
      <c r="I44" s="62">
        <f t="shared" si="2"/>
        <v>48</v>
      </c>
    </row>
    <row r="45" spans="2:9" x14ac:dyDescent="0.25">
      <c r="B45" s="70">
        <v>1</v>
      </c>
      <c r="C45" s="67" t="str">
        <f>VLOOKUP(B45,proveedores!$AK:$AL,2)</f>
        <v>MORENO</v>
      </c>
      <c r="D45" s="70">
        <v>44</v>
      </c>
      <c r="E45" s="67" t="s">
        <v>138</v>
      </c>
      <c r="F45" s="67">
        <v>34.5</v>
      </c>
      <c r="G45" s="68">
        <v>20</v>
      </c>
      <c r="H45" s="63">
        <v>40</v>
      </c>
      <c r="I45" s="62">
        <f t="shared" si="2"/>
        <v>48</v>
      </c>
    </row>
    <row r="46" spans="2:9" x14ac:dyDescent="0.25">
      <c r="B46" s="70">
        <v>1</v>
      </c>
      <c r="C46" s="67" t="str">
        <f>VLOOKUP(B46,proveedores!$AK:$AL,2)</f>
        <v>MORENO</v>
      </c>
      <c r="D46" s="70">
        <v>45</v>
      </c>
      <c r="E46" s="67" t="s">
        <v>139</v>
      </c>
      <c r="F46" s="67">
        <v>34.5</v>
      </c>
      <c r="G46" s="68">
        <v>20</v>
      </c>
      <c r="H46" s="63">
        <v>40</v>
      </c>
      <c r="I46" s="62">
        <f t="shared" si="2"/>
        <v>48</v>
      </c>
    </row>
    <row r="47" spans="2:9" x14ac:dyDescent="0.25">
      <c r="B47" s="70">
        <v>1</v>
      </c>
      <c r="C47" s="67" t="str">
        <f>VLOOKUP(B47,proveedores!$AK:$AL,2)</f>
        <v>MORENO</v>
      </c>
      <c r="D47" s="70">
        <v>46</v>
      </c>
      <c r="E47" s="67" t="s">
        <v>140</v>
      </c>
      <c r="F47" s="67">
        <v>46.5</v>
      </c>
      <c r="G47" s="68">
        <v>20</v>
      </c>
      <c r="I47" s="62"/>
    </row>
    <row r="48" spans="2:9" x14ac:dyDescent="0.25">
      <c r="B48" s="70">
        <v>1</v>
      </c>
      <c r="C48" s="67" t="str">
        <f>VLOOKUP(B48,proveedores!$AK:$AL,2)</f>
        <v>MORENO</v>
      </c>
      <c r="D48" s="70">
        <v>47</v>
      </c>
      <c r="E48" s="67" t="s">
        <v>141</v>
      </c>
      <c r="F48" s="67">
        <v>34.5</v>
      </c>
      <c r="G48" s="68">
        <v>20</v>
      </c>
      <c r="H48" s="63">
        <v>40</v>
      </c>
      <c r="I48" s="62">
        <f t="shared" si="2"/>
        <v>48</v>
      </c>
    </row>
    <row r="49" spans="2:9" x14ac:dyDescent="0.25">
      <c r="B49" s="70">
        <v>1</v>
      </c>
      <c r="C49" s="67" t="str">
        <f>VLOOKUP(B49,proveedores!$AK:$AL,2)</f>
        <v>MORENO</v>
      </c>
      <c r="D49" s="70">
        <v>48</v>
      </c>
      <c r="E49" s="67" t="s">
        <v>142</v>
      </c>
      <c r="F49" s="67">
        <v>32</v>
      </c>
      <c r="G49" s="68">
        <v>20</v>
      </c>
      <c r="H49" s="63">
        <v>40</v>
      </c>
      <c r="I49" s="62">
        <f t="shared" si="2"/>
        <v>45</v>
      </c>
    </row>
    <row r="50" spans="2:9" x14ac:dyDescent="0.25">
      <c r="B50" s="70">
        <v>1</v>
      </c>
      <c r="C50" s="67" t="str">
        <f>VLOOKUP(B50,proveedores!$AK:$AL,2)</f>
        <v>MORENO</v>
      </c>
      <c r="D50" s="70">
        <v>49</v>
      </c>
      <c r="E50" s="67" t="s">
        <v>143</v>
      </c>
      <c r="F50" s="67">
        <v>32</v>
      </c>
      <c r="G50" s="68">
        <v>20</v>
      </c>
      <c r="H50" s="63">
        <v>40</v>
      </c>
      <c r="I50" s="62">
        <f t="shared" si="2"/>
        <v>45</v>
      </c>
    </row>
    <row r="51" spans="2:9" x14ac:dyDescent="0.25">
      <c r="B51" s="70">
        <v>1</v>
      </c>
      <c r="C51" s="67" t="str">
        <f>VLOOKUP(B51,proveedores!$AK:$AL,2)</f>
        <v>MORENO</v>
      </c>
      <c r="D51" s="70">
        <v>50</v>
      </c>
      <c r="E51" s="67" t="s">
        <v>144</v>
      </c>
      <c r="F51" s="67">
        <v>35.5</v>
      </c>
      <c r="G51" s="68">
        <v>20</v>
      </c>
      <c r="H51" s="63">
        <v>40</v>
      </c>
      <c r="I51" s="62">
        <f t="shared" si="2"/>
        <v>50</v>
      </c>
    </row>
    <row r="52" spans="2:9" x14ac:dyDescent="0.25">
      <c r="B52" s="70">
        <v>1</v>
      </c>
      <c r="C52" s="67" t="str">
        <f>VLOOKUP(B52,proveedores!$AK:$AL,2)</f>
        <v>MORENO</v>
      </c>
      <c r="D52" s="70">
        <v>51</v>
      </c>
      <c r="E52" s="67" t="s">
        <v>145</v>
      </c>
      <c r="F52" s="67">
        <v>32</v>
      </c>
      <c r="G52" s="68">
        <v>20</v>
      </c>
      <c r="H52" s="63">
        <v>40</v>
      </c>
      <c r="I52" s="62">
        <f t="shared" si="2"/>
        <v>45</v>
      </c>
    </row>
    <row r="53" spans="2:9" x14ac:dyDescent="0.25">
      <c r="B53" s="70">
        <v>1</v>
      </c>
      <c r="C53" s="67" t="str">
        <f>VLOOKUP(B53,proveedores!$AK:$AL,2)</f>
        <v>MORENO</v>
      </c>
      <c r="D53" s="70">
        <v>52</v>
      </c>
      <c r="E53" s="67" t="s">
        <v>146</v>
      </c>
      <c r="F53" s="67">
        <v>32</v>
      </c>
      <c r="G53" s="68">
        <v>20</v>
      </c>
      <c r="H53" s="63">
        <v>40</v>
      </c>
      <c r="I53" s="62">
        <f t="shared" si="2"/>
        <v>45</v>
      </c>
    </row>
    <row r="54" spans="2:9" x14ac:dyDescent="0.25">
      <c r="B54" s="70">
        <v>1</v>
      </c>
      <c r="C54" s="67" t="str">
        <f>VLOOKUP(B54,proveedores!$AK:$AL,2)</f>
        <v>MORENO</v>
      </c>
      <c r="D54" s="70">
        <v>53</v>
      </c>
      <c r="E54" s="67" t="s">
        <v>147</v>
      </c>
      <c r="F54" s="67">
        <v>32</v>
      </c>
      <c r="G54" s="68">
        <v>20</v>
      </c>
      <c r="H54" s="63">
        <v>40</v>
      </c>
      <c r="I54" s="62">
        <f t="shared" si="2"/>
        <v>45</v>
      </c>
    </row>
    <row r="55" spans="2:9" x14ac:dyDescent="0.25">
      <c r="B55" s="70">
        <v>1</v>
      </c>
      <c r="C55" s="67" t="str">
        <f>VLOOKUP(B55,proveedores!$AK:$AL,2)</f>
        <v>MORENO</v>
      </c>
      <c r="D55" s="70">
        <v>54</v>
      </c>
      <c r="E55" s="67" t="s">
        <v>148</v>
      </c>
      <c r="F55" s="67">
        <v>32</v>
      </c>
      <c r="G55" s="68">
        <v>20</v>
      </c>
      <c r="H55" s="63">
        <v>40</v>
      </c>
      <c r="I55" s="62">
        <f t="shared" si="2"/>
        <v>45</v>
      </c>
    </row>
    <row r="56" spans="2:9" x14ac:dyDescent="0.25">
      <c r="B56" s="70">
        <v>1</v>
      </c>
      <c r="C56" s="67" t="str">
        <f>VLOOKUP(B56,proveedores!$AK:$AL,2)</f>
        <v>MORENO</v>
      </c>
      <c r="D56" s="70">
        <v>55</v>
      </c>
      <c r="E56" s="67" t="s">
        <v>149</v>
      </c>
      <c r="F56" s="67">
        <v>32</v>
      </c>
      <c r="G56" s="68">
        <v>20</v>
      </c>
      <c r="H56" s="63">
        <v>40</v>
      </c>
      <c r="I56" s="62">
        <f t="shared" si="2"/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T74"/>
  <sheetViews>
    <sheetView topLeftCell="AJ1" workbookViewId="0">
      <selection activeCell="AU1" sqref="AU1"/>
    </sheetView>
  </sheetViews>
  <sheetFormatPr baseColWidth="10" defaultRowHeight="15.75" x14ac:dyDescent="0.25"/>
  <cols>
    <col min="1" max="1" width="13.75" style="2" hidden="1" customWidth="1"/>
    <col min="2" max="2" width="6.625" style="3" hidden="1" customWidth="1"/>
    <col min="3" max="3" width="12.75" style="4" hidden="1" customWidth="1"/>
    <col min="4" max="4" width="38.75" hidden="1" customWidth="1"/>
    <col min="5" max="5" width="28.625" hidden="1" customWidth="1"/>
    <col min="6" max="6" width="18.875" hidden="1" customWidth="1"/>
    <col min="7" max="7" width="7.125" hidden="1" customWidth="1"/>
    <col min="8" max="8" width="6.125" hidden="1" customWidth="1"/>
    <col min="9" max="9" width="26.375" hidden="1" customWidth="1"/>
    <col min="10" max="10" width="5" hidden="1" customWidth="1"/>
    <col min="11" max="13" width="0" style="5" hidden="1" customWidth="1"/>
    <col min="14" max="14" width="4.875" hidden="1" customWidth="1"/>
    <col min="15" max="15" width="4.5" hidden="1" customWidth="1"/>
    <col min="16" max="16" width="5.625" hidden="1" customWidth="1"/>
    <col min="17" max="18" width="10" style="5" hidden="1" customWidth="1"/>
    <col min="19" max="21" width="6.875" style="5" hidden="1" customWidth="1"/>
    <col min="22" max="23" width="0" hidden="1" customWidth="1"/>
    <col min="24" max="24" width="7.25" hidden="1" customWidth="1"/>
    <col min="25" max="26" width="0" hidden="1" customWidth="1"/>
    <col min="27" max="27" width="4.5" hidden="1" customWidth="1"/>
    <col min="28" max="28" width="4.25" hidden="1" customWidth="1"/>
    <col min="29" max="29" width="12" hidden="1" customWidth="1"/>
    <col min="30" max="30" width="4.5" hidden="1" customWidth="1"/>
    <col min="31" max="31" width="4.375" style="1" hidden="1" customWidth="1"/>
    <col min="32" max="32" width="30.875" hidden="1" customWidth="1"/>
    <col min="33" max="33" width="4.125" hidden="1" customWidth="1"/>
    <col min="34" max="34" width="4.125" style="1" hidden="1" customWidth="1"/>
    <col min="35" max="35" width="25.75" hidden="1" customWidth="1"/>
    <col min="36" max="36" width="17.75" customWidth="1"/>
    <col min="37" max="37" width="4" style="111" customWidth="1"/>
    <col min="38" max="38" width="20.875" style="113" bestFit="1" customWidth="1"/>
    <col min="39" max="39" width="25.5" style="113" bestFit="1" customWidth="1"/>
    <col min="40" max="40" width="12.125" style="113" bestFit="1" customWidth="1"/>
    <col min="41" max="41" width="22.375" style="113" bestFit="1" customWidth="1"/>
    <col min="42" max="42" width="15.625" style="113" bestFit="1" customWidth="1"/>
    <col min="43" max="43" width="4.625" customWidth="1"/>
    <col min="44" max="46" width="11" style="67"/>
  </cols>
  <sheetData>
    <row r="1" spans="1:46" s="110" customFormat="1" ht="36.75" customHeight="1" thickBot="1" x14ac:dyDescent="0.3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  <c r="G1" s="108" t="s">
        <v>6</v>
      </c>
      <c r="H1" s="108" t="s">
        <v>7</v>
      </c>
      <c r="I1" s="108" t="s">
        <v>8</v>
      </c>
      <c r="J1" s="108" t="s">
        <v>9</v>
      </c>
      <c r="K1" s="108" t="s">
        <v>10</v>
      </c>
      <c r="L1" s="108" t="s">
        <v>11</v>
      </c>
      <c r="M1" s="108" t="s">
        <v>12</v>
      </c>
      <c r="N1" s="108" t="s">
        <v>13</v>
      </c>
      <c r="O1" s="108" t="s">
        <v>14</v>
      </c>
      <c r="P1" s="108" t="s">
        <v>15</v>
      </c>
      <c r="Q1" s="108" t="s">
        <v>16</v>
      </c>
      <c r="R1" s="108" t="s">
        <v>17</v>
      </c>
      <c r="S1" s="108" t="s">
        <v>18</v>
      </c>
      <c r="T1" s="108" t="s">
        <v>19</v>
      </c>
      <c r="U1" s="108" t="s">
        <v>20</v>
      </c>
      <c r="V1" s="108" t="s">
        <v>21</v>
      </c>
      <c r="W1" s="108" t="s">
        <v>22</v>
      </c>
      <c r="X1" s="108" t="s">
        <v>23</v>
      </c>
      <c r="Y1" s="108" t="s">
        <v>24</v>
      </c>
      <c r="Z1" s="108" t="s">
        <v>25</v>
      </c>
      <c r="AA1" s="109"/>
      <c r="AB1" s="108" t="s">
        <v>26</v>
      </c>
      <c r="AC1" s="108" t="s">
        <v>6</v>
      </c>
      <c r="AE1" s="108" t="s">
        <v>26</v>
      </c>
      <c r="AF1" s="108" t="s">
        <v>4</v>
      </c>
      <c r="AH1" s="108" t="s">
        <v>26</v>
      </c>
      <c r="AI1" s="108" t="s">
        <v>5</v>
      </c>
      <c r="AK1" s="108" t="s">
        <v>26</v>
      </c>
      <c r="AL1" s="108" t="s">
        <v>8</v>
      </c>
      <c r="AM1" s="108" t="s">
        <v>150</v>
      </c>
      <c r="AN1" s="108" t="s">
        <v>27</v>
      </c>
      <c r="AO1" s="108" t="s">
        <v>29</v>
      </c>
      <c r="AP1" s="108" t="s">
        <v>30</v>
      </c>
      <c r="AR1" s="132" t="s">
        <v>356</v>
      </c>
      <c r="AS1" s="132" t="s">
        <v>354</v>
      </c>
      <c r="AT1" s="132" t="s">
        <v>355</v>
      </c>
    </row>
    <row r="2" spans="1:46" x14ac:dyDescent="0.25">
      <c r="A2" s="2" t="s">
        <v>31</v>
      </c>
      <c r="B2" s="3">
        <v>1</v>
      </c>
      <c r="C2" s="4" t="s">
        <v>32</v>
      </c>
      <c r="D2" t="s">
        <v>33</v>
      </c>
      <c r="E2" t="s">
        <v>34</v>
      </c>
      <c r="F2" t="s">
        <v>35</v>
      </c>
      <c r="G2" t="s">
        <v>36</v>
      </c>
      <c r="H2">
        <v>1</v>
      </c>
      <c r="I2" t="s">
        <v>37</v>
      </c>
      <c r="J2" t="s">
        <v>38</v>
      </c>
      <c r="K2" s="5">
        <v>2.5861999999999998</v>
      </c>
      <c r="L2" s="5">
        <v>3</v>
      </c>
      <c r="M2" s="5">
        <v>3</v>
      </c>
      <c r="N2">
        <v>50</v>
      </c>
      <c r="O2">
        <v>2</v>
      </c>
      <c r="P2">
        <v>0.16</v>
      </c>
      <c r="Q2" s="5">
        <v>4.5</v>
      </c>
      <c r="R2" s="5">
        <v>5</v>
      </c>
      <c r="V2">
        <v>100</v>
      </c>
      <c r="W2">
        <v>10</v>
      </c>
      <c r="X2" t="s">
        <v>39</v>
      </c>
      <c r="Y2" s="6">
        <v>40905</v>
      </c>
      <c r="AB2" t="s">
        <v>40</v>
      </c>
      <c r="AC2" t="s">
        <v>41</v>
      </c>
      <c r="AE2" s="1" t="s">
        <v>40</v>
      </c>
      <c r="AF2" t="s">
        <v>42</v>
      </c>
      <c r="AH2" s="1" t="s">
        <v>40</v>
      </c>
      <c r="AI2" t="s">
        <v>43</v>
      </c>
      <c r="AK2" s="111">
        <v>1</v>
      </c>
      <c r="AL2" s="112" t="s">
        <v>153</v>
      </c>
      <c r="AM2" s="113" t="s">
        <v>222</v>
      </c>
      <c r="AN2" s="113" t="s">
        <v>221</v>
      </c>
      <c r="AP2" s="114"/>
      <c r="AT2" s="67">
        <f>AR2-AS2</f>
        <v>0</v>
      </c>
    </row>
    <row r="3" spans="1:46" x14ac:dyDescent="0.25">
      <c r="A3" s="2" t="s">
        <v>45</v>
      </c>
      <c r="B3" s="3">
        <v>2</v>
      </c>
      <c r="C3" s="4" t="s">
        <v>46</v>
      </c>
      <c r="D3" t="s">
        <v>47</v>
      </c>
      <c r="E3" t="s">
        <v>48</v>
      </c>
      <c r="F3" t="s">
        <v>43</v>
      </c>
      <c r="G3" t="s">
        <v>36</v>
      </c>
      <c r="H3">
        <v>2</v>
      </c>
      <c r="I3" t="s">
        <v>44</v>
      </c>
      <c r="J3" t="s">
        <v>49</v>
      </c>
      <c r="K3" s="5">
        <v>40.086199999999998</v>
      </c>
      <c r="L3" s="5">
        <v>46.5</v>
      </c>
      <c r="M3" s="5">
        <v>46.5</v>
      </c>
      <c r="N3">
        <v>35</v>
      </c>
      <c r="O3">
        <v>2</v>
      </c>
      <c r="P3">
        <v>0.16</v>
      </c>
      <c r="Q3" s="5">
        <v>62.774999999999999</v>
      </c>
      <c r="R3" s="5">
        <v>68</v>
      </c>
      <c r="V3">
        <v>10</v>
      </c>
      <c r="W3">
        <v>5</v>
      </c>
      <c r="X3" t="s">
        <v>39</v>
      </c>
      <c r="Y3" s="6">
        <v>40905</v>
      </c>
      <c r="AB3" t="s">
        <v>50</v>
      </c>
      <c r="AC3" t="s">
        <v>36</v>
      </c>
      <c r="AE3" s="1" t="s">
        <v>50</v>
      </c>
      <c r="AF3" t="s">
        <v>34</v>
      </c>
      <c r="AH3" s="1" t="s">
        <v>50</v>
      </c>
      <c r="AI3" t="s">
        <v>51</v>
      </c>
      <c r="AK3" s="111" t="s">
        <v>50</v>
      </c>
      <c r="AL3" s="113" t="s">
        <v>154</v>
      </c>
      <c r="AM3" s="113" t="s">
        <v>201</v>
      </c>
      <c r="AT3" s="67">
        <f t="shared" ref="AT3:AT23" si="0">AR3-AS3</f>
        <v>0</v>
      </c>
    </row>
    <row r="4" spans="1:46" x14ac:dyDescent="0.25">
      <c r="AB4" t="s">
        <v>52</v>
      </c>
      <c r="AC4" t="s">
        <v>53</v>
      </c>
      <c r="AE4" s="1" t="s">
        <v>52</v>
      </c>
      <c r="AF4" t="s">
        <v>54</v>
      </c>
      <c r="AK4" s="111" t="s">
        <v>52</v>
      </c>
      <c r="AL4" s="113" t="s">
        <v>155</v>
      </c>
      <c r="AM4" s="113" t="s">
        <v>224</v>
      </c>
      <c r="AO4" s="113" t="s">
        <v>234</v>
      </c>
      <c r="AP4" s="113" t="s">
        <v>235</v>
      </c>
      <c r="AT4" s="67">
        <f t="shared" si="0"/>
        <v>0</v>
      </c>
    </row>
    <row r="5" spans="1:46" x14ac:dyDescent="0.25">
      <c r="AK5" s="111" t="s">
        <v>219</v>
      </c>
      <c r="AL5" s="113" t="s">
        <v>169</v>
      </c>
      <c r="AM5" s="113" t="s">
        <v>225</v>
      </c>
      <c r="AO5" s="113">
        <v>15405451</v>
      </c>
      <c r="AT5" s="67">
        <f t="shared" si="0"/>
        <v>0</v>
      </c>
    </row>
    <row r="6" spans="1:46" x14ac:dyDescent="0.25">
      <c r="AK6" s="111" t="s">
        <v>220</v>
      </c>
      <c r="AL6" s="113" t="s">
        <v>156</v>
      </c>
      <c r="AM6" s="113" t="s">
        <v>226</v>
      </c>
      <c r="AT6" s="67">
        <f t="shared" si="0"/>
        <v>0</v>
      </c>
    </row>
    <row r="7" spans="1:46" x14ac:dyDescent="0.25">
      <c r="AK7" s="111" t="s">
        <v>227</v>
      </c>
      <c r="AL7" s="113" t="s">
        <v>158</v>
      </c>
      <c r="AM7" s="113" t="s">
        <v>228</v>
      </c>
      <c r="AO7" s="113" t="s">
        <v>236</v>
      </c>
      <c r="AT7" s="67">
        <f t="shared" si="0"/>
        <v>0</v>
      </c>
    </row>
    <row r="8" spans="1:46" x14ac:dyDescent="0.25">
      <c r="AK8" s="111" t="s">
        <v>229</v>
      </c>
      <c r="AL8" s="113" t="s">
        <v>157</v>
      </c>
      <c r="AM8" s="113" t="s">
        <v>228</v>
      </c>
      <c r="AN8" s="113" t="s">
        <v>232</v>
      </c>
      <c r="AO8" s="113" t="s">
        <v>233</v>
      </c>
      <c r="AT8" s="67">
        <f t="shared" si="0"/>
        <v>0</v>
      </c>
    </row>
    <row r="9" spans="1:46" x14ac:dyDescent="0.25">
      <c r="AK9" s="111" t="s">
        <v>230</v>
      </c>
      <c r="AL9" s="113" t="s">
        <v>159</v>
      </c>
      <c r="AM9" s="113" t="s">
        <v>228</v>
      </c>
      <c r="AO9" s="113" t="s">
        <v>237</v>
      </c>
      <c r="AT9" s="67">
        <f t="shared" si="0"/>
        <v>0</v>
      </c>
    </row>
    <row r="10" spans="1:46" x14ac:dyDescent="0.25">
      <c r="AK10" s="111" t="s">
        <v>231</v>
      </c>
      <c r="AL10" s="113" t="s">
        <v>160</v>
      </c>
      <c r="AM10" s="113" t="s">
        <v>225</v>
      </c>
      <c r="AN10" s="113" t="s">
        <v>223</v>
      </c>
      <c r="AO10" s="113" t="s">
        <v>238</v>
      </c>
      <c r="AT10" s="67">
        <f t="shared" si="0"/>
        <v>0</v>
      </c>
    </row>
    <row r="11" spans="1:46" x14ac:dyDescent="0.25">
      <c r="AK11" s="111" t="s">
        <v>239</v>
      </c>
      <c r="AL11" s="113" t="s">
        <v>240</v>
      </c>
      <c r="AM11" s="113" t="s">
        <v>241</v>
      </c>
      <c r="AN11" s="113" t="s">
        <v>28</v>
      </c>
      <c r="AO11" s="113" t="s">
        <v>242</v>
      </c>
      <c r="AP11" s="113" t="s">
        <v>76</v>
      </c>
      <c r="AT11" s="67">
        <f t="shared" si="0"/>
        <v>0</v>
      </c>
    </row>
    <row r="12" spans="1:46" x14ac:dyDescent="0.25">
      <c r="AK12" s="111" t="s">
        <v>243</v>
      </c>
      <c r="AL12" s="113" t="s">
        <v>161</v>
      </c>
      <c r="AM12" s="113" t="s">
        <v>248</v>
      </c>
      <c r="AN12" s="113" t="s">
        <v>28</v>
      </c>
      <c r="AO12" s="113">
        <v>154387025</v>
      </c>
      <c r="AT12" s="67">
        <f t="shared" si="0"/>
        <v>0</v>
      </c>
    </row>
    <row r="13" spans="1:46" x14ac:dyDescent="0.25">
      <c r="AK13" s="111" t="s">
        <v>246</v>
      </c>
      <c r="AL13" s="113" t="s">
        <v>162</v>
      </c>
      <c r="AM13" s="113" t="s">
        <v>244</v>
      </c>
      <c r="AN13" s="113" t="s">
        <v>76</v>
      </c>
      <c r="AO13" s="113" t="s">
        <v>247</v>
      </c>
      <c r="AP13" s="115" t="s">
        <v>76</v>
      </c>
      <c r="AT13" s="67">
        <f t="shared" si="0"/>
        <v>0</v>
      </c>
    </row>
    <row r="14" spans="1:46" x14ac:dyDescent="0.25">
      <c r="AK14" s="111" t="s">
        <v>249</v>
      </c>
      <c r="AL14" s="113" t="s">
        <v>250</v>
      </c>
      <c r="AM14" s="113" t="s">
        <v>248</v>
      </c>
      <c r="AN14" s="113" t="s">
        <v>76</v>
      </c>
      <c r="AO14" s="113" t="s">
        <v>251</v>
      </c>
      <c r="AP14" s="115" t="s">
        <v>76</v>
      </c>
      <c r="AT14" s="67">
        <f t="shared" si="0"/>
        <v>0</v>
      </c>
    </row>
    <row r="15" spans="1:46" x14ac:dyDescent="0.25">
      <c r="AK15" s="111" t="s">
        <v>252</v>
      </c>
      <c r="AL15" s="113" t="s">
        <v>163</v>
      </c>
      <c r="AM15" s="113" t="s">
        <v>228</v>
      </c>
      <c r="AN15" s="113" t="s">
        <v>28</v>
      </c>
      <c r="AO15" s="113" t="s">
        <v>76</v>
      </c>
      <c r="AP15" s="115" t="s">
        <v>76</v>
      </c>
      <c r="AT15" s="67">
        <f t="shared" si="0"/>
        <v>0</v>
      </c>
    </row>
    <row r="16" spans="1:46" x14ac:dyDescent="0.25">
      <c r="AK16" s="111" t="s">
        <v>253</v>
      </c>
      <c r="AL16" s="113" t="s">
        <v>164</v>
      </c>
      <c r="AM16" s="113" t="s">
        <v>244</v>
      </c>
      <c r="AN16" s="113" t="s">
        <v>76</v>
      </c>
      <c r="AO16" s="113" t="s">
        <v>254</v>
      </c>
      <c r="AP16" s="115" t="s">
        <v>76</v>
      </c>
      <c r="AT16" s="67">
        <f t="shared" si="0"/>
        <v>0</v>
      </c>
    </row>
    <row r="17" spans="37:46" x14ac:dyDescent="0.25">
      <c r="AK17" s="111" t="s">
        <v>255</v>
      </c>
      <c r="AL17" s="113" t="s">
        <v>165</v>
      </c>
      <c r="AM17" s="113" t="s">
        <v>218</v>
      </c>
      <c r="AN17" s="113" t="s">
        <v>28</v>
      </c>
      <c r="AO17" s="113" t="s">
        <v>256</v>
      </c>
      <c r="AP17" s="115" t="s">
        <v>76</v>
      </c>
      <c r="AT17" s="67">
        <f t="shared" si="0"/>
        <v>0</v>
      </c>
    </row>
    <row r="18" spans="37:46" x14ac:dyDescent="0.25">
      <c r="AK18" s="111" t="s">
        <v>257</v>
      </c>
      <c r="AL18" s="113" t="s">
        <v>258</v>
      </c>
      <c r="AM18" s="113" t="s">
        <v>259</v>
      </c>
      <c r="AN18" s="113" t="s">
        <v>76</v>
      </c>
      <c r="AO18" s="113" t="s">
        <v>260</v>
      </c>
      <c r="AP18" s="115" t="s">
        <v>76</v>
      </c>
      <c r="AT18" s="67">
        <f t="shared" si="0"/>
        <v>0</v>
      </c>
    </row>
    <row r="19" spans="37:46" x14ac:dyDescent="0.25">
      <c r="AK19" s="111" t="s">
        <v>261</v>
      </c>
      <c r="AL19" s="113" t="s">
        <v>262</v>
      </c>
      <c r="AM19" s="113" t="s">
        <v>241</v>
      </c>
      <c r="AN19" s="113" t="s">
        <v>28</v>
      </c>
      <c r="AO19" s="113" t="s">
        <v>76</v>
      </c>
      <c r="AP19" s="113" t="s">
        <v>76</v>
      </c>
      <c r="AT19" s="67">
        <f t="shared" si="0"/>
        <v>0</v>
      </c>
    </row>
    <row r="20" spans="37:46" x14ac:dyDescent="0.25">
      <c r="AK20" s="111" t="s">
        <v>263</v>
      </c>
      <c r="AL20" s="113" t="s">
        <v>264</v>
      </c>
      <c r="AM20" s="113" t="s">
        <v>225</v>
      </c>
      <c r="AN20" s="113" t="s">
        <v>28</v>
      </c>
      <c r="AO20" s="113" t="s">
        <v>265</v>
      </c>
      <c r="AP20" s="113" t="s">
        <v>76</v>
      </c>
      <c r="AT20" s="67">
        <f t="shared" si="0"/>
        <v>0</v>
      </c>
    </row>
    <row r="21" spans="37:46" x14ac:dyDescent="0.25">
      <c r="AK21" s="111" t="s">
        <v>266</v>
      </c>
      <c r="AL21" s="113" t="s">
        <v>166</v>
      </c>
      <c r="AM21" s="113" t="s">
        <v>248</v>
      </c>
      <c r="AN21" s="113" t="s">
        <v>76</v>
      </c>
      <c r="AO21" s="113" t="s">
        <v>267</v>
      </c>
      <c r="AP21" s="113" t="s">
        <v>76</v>
      </c>
      <c r="AT21" s="67">
        <f t="shared" si="0"/>
        <v>0</v>
      </c>
    </row>
    <row r="22" spans="37:46" x14ac:dyDescent="0.25">
      <c r="AK22" s="111" t="s">
        <v>268</v>
      </c>
      <c r="AL22" s="113" t="s">
        <v>269</v>
      </c>
      <c r="AM22" s="113" t="s">
        <v>218</v>
      </c>
      <c r="AN22" s="113" t="s">
        <v>76</v>
      </c>
      <c r="AO22" s="113" t="s">
        <v>270</v>
      </c>
      <c r="AP22" s="113" t="s">
        <v>76</v>
      </c>
      <c r="AT22" s="67">
        <f t="shared" si="0"/>
        <v>0</v>
      </c>
    </row>
    <row r="23" spans="37:46" x14ac:dyDescent="0.25">
      <c r="AK23" s="111" t="s">
        <v>271</v>
      </c>
      <c r="AL23" s="113" t="s">
        <v>272</v>
      </c>
      <c r="AM23" s="113" t="s">
        <v>124</v>
      </c>
      <c r="AN23" s="113" t="s">
        <v>76</v>
      </c>
      <c r="AO23" s="113" t="s">
        <v>273</v>
      </c>
      <c r="AP23" s="113" t="s">
        <v>76</v>
      </c>
      <c r="AT23" s="67">
        <f t="shared" si="0"/>
        <v>0</v>
      </c>
    </row>
    <row r="24" spans="37:46" x14ac:dyDescent="0.25">
      <c r="AK24" s="115" t="s">
        <v>274</v>
      </c>
      <c r="AL24" s="113" t="s">
        <v>167</v>
      </c>
      <c r="AM24" s="113" t="s">
        <v>202</v>
      </c>
      <c r="AN24" s="113" t="s">
        <v>76</v>
      </c>
      <c r="AO24" s="113" t="s">
        <v>275</v>
      </c>
      <c r="AP24" s="113" t="s">
        <v>76</v>
      </c>
    </row>
    <row r="25" spans="37:46" x14ac:dyDescent="0.25">
      <c r="AK25" s="115" t="s">
        <v>276</v>
      </c>
      <c r="AL25" s="113" t="s">
        <v>168</v>
      </c>
      <c r="AM25" s="113" t="s">
        <v>202</v>
      </c>
      <c r="AN25" s="113" t="s">
        <v>76</v>
      </c>
      <c r="AO25" s="113" t="s">
        <v>277</v>
      </c>
      <c r="AP25" s="113" t="s">
        <v>76</v>
      </c>
    </row>
    <row r="26" spans="37:46" x14ac:dyDescent="0.25">
      <c r="AK26" s="115" t="s">
        <v>278</v>
      </c>
      <c r="AL26" s="113" t="s">
        <v>279</v>
      </c>
      <c r="AM26" s="113" t="s">
        <v>320</v>
      </c>
      <c r="AO26" s="113">
        <v>154539577</v>
      </c>
    </row>
    <row r="27" spans="37:46" x14ac:dyDescent="0.25">
      <c r="AK27" s="115" t="s">
        <v>280</v>
      </c>
      <c r="AL27" s="113" t="s">
        <v>171</v>
      </c>
      <c r="AM27" s="113" t="s">
        <v>281</v>
      </c>
      <c r="AN27" s="113" t="s">
        <v>76</v>
      </c>
      <c r="AO27" s="113" t="s">
        <v>282</v>
      </c>
      <c r="AP27" s="113" t="s">
        <v>76</v>
      </c>
    </row>
    <row r="28" spans="37:46" x14ac:dyDescent="0.25">
      <c r="AK28" s="115" t="s">
        <v>283</v>
      </c>
      <c r="AL28" s="113" t="s">
        <v>284</v>
      </c>
      <c r="AM28" s="113" t="s">
        <v>285</v>
      </c>
      <c r="AN28" s="113" t="s">
        <v>76</v>
      </c>
      <c r="AO28" s="113" t="s">
        <v>286</v>
      </c>
      <c r="AP28" s="113" t="s">
        <v>76</v>
      </c>
    </row>
    <row r="29" spans="37:46" x14ac:dyDescent="0.25">
      <c r="AK29" s="115" t="s">
        <v>287</v>
      </c>
      <c r="AL29" s="113" t="s">
        <v>172</v>
      </c>
      <c r="AM29" s="113" t="s">
        <v>288</v>
      </c>
      <c r="AN29" s="113" t="s">
        <v>76</v>
      </c>
      <c r="AO29" s="113" t="s">
        <v>289</v>
      </c>
      <c r="AP29" s="113" t="s">
        <v>76</v>
      </c>
    </row>
    <row r="30" spans="37:46" x14ac:dyDescent="0.25">
      <c r="AK30" s="115" t="s">
        <v>290</v>
      </c>
      <c r="AL30" s="113" t="s">
        <v>175</v>
      </c>
      <c r="AM30" s="113" t="s">
        <v>291</v>
      </c>
      <c r="AN30" s="113" t="s">
        <v>76</v>
      </c>
      <c r="AO30" s="113" t="s">
        <v>292</v>
      </c>
      <c r="AP30" s="113" t="s">
        <v>76</v>
      </c>
    </row>
    <row r="31" spans="37:46" x14ac:dyDescent="0.25">
      <c r="AK31" s="115" t="s">
        <v>293</v>
      </c>
      <c r="AL31" s="113" t="s">
        <v>173</v>
      </c>
      <c r="AM31" s="113" t="s">
        <v>228</v>
      </c>
      <c r="AN31" s="113" t="s">
        <v>76</v>
      </c>
      <c r="AO31" s="113" t="s">
        <v>76</v>
      </c>
      <c r="AP31" s="113" t="s">
        <v>76</v>
      </c>
    </row>
    <row r="32" spans="37:46" x14ac:dyDescent="0.25">
      <c r="AK32" s="115" t="s">
        <v>294</v>
      </c>
      <c r="AL32" s="113" t="s">
        <v>177</v>
      </c>
      <c r="AM32" s="113" t="s">
        <v>228</v>
      </c>
      <c r="AN32" s="113" t="s">
        <v>76</v>
      </c>
      <c r="AO32" s="113" t="s">
        <v>295</v>
      </c>
      <c r="AP32" s="113" t="s">
        <v>76</v>
      </c>
    </row>
    <row r="33" spans="37:42" x14ac:dyDescent="0.25">
      <c r="AK33" s="115" t="s">
        <v>296</v>
      </c>
      <c r="AL33" s="113" t="s">
        <v>179</v>
      </c>
      <c r="AM33" s="113" t="s">
        <v>281</v>
      </c>
      <c r="AN33" s="113" t="s">
        <v>76</v>
      </c>
      <c r="AO33" s="113" t="s">
        <v>297</v>
      </c>
      <c r="AP33" s="113" t="s">
        <v>76</v>
      </c>
    </row>
    <row r="34" spans="37:42" x14ac:dyDescent="0.25">
      <c r="AK34" s="115" t="s">
        <v>298</v>
      </c>
      <c r="AL34" s="113" t="s">
        <v>178</v>
      </c>
      <c r="AM34" s="113" t="s">
        <v>241</v>
      </c>
      <c r="AN34" s="113" t="s">
        <v>76</v>
      </c>
      <c r="AO34" s="113" t="s">
        <v>299</v>
      </c>
      <c r="AP34" s="113" t="s">
        <v>76</v>
      </c>
    </row>
    <row r="35" spans="37:42" x14ac:dyDescent="0.25">
      <c r="AK35" s="115" t="s">
        <v>300</v>
      </c>
      <c r="AL35" s="113" t="s">
        <v>180</v>
      </c>
      <c r="AM35" s="113" t="s">
        <v>248</v>
      </c>
      <c r="AN35" s="113" t="s">
        <v>76</v>
      </c>
      <c r="AO35" s="113" t="s">
        <v>245</v>
      </c>
      <c r="AP35" s="113" t="s">
        <v>76</v>
      </c>
    </row>
    <row r="36" spans="37:42" x14ac:dyDescent="0.25">
      <c r="AK36" s="115" t="s">
        <v>301</v>
      </c>
      <c r="AL36" s="113" t="s">
        <v>181</v>
      </c>
      <c r="AM36" s="113" t="s">
        <v>225</v>
      </c>
      <c r="AN36" s="113" t="s">
        <v>76</v>
      </c>
      <c r="AO36" s="113" t="s">
        <v>302</v>
      </c>
      <c r="AP36" s="113" t="s">
        <v>76</v>
      </c>
    </row>
    <row r="37" spans="37:42" x14ac:dyDescent="0.25">
      <c r="AK37" s="115" t="s">
        <v>303</v>
      </c>
      <c r="AL37" s="113" t="s">
        <v>182</v>
      </c>
      <c r="AM37" s="113" t="s">
        <v>304</v>
      </c>
      <c r="AN37" s="113" t="s">
        <v>76</v>
      </c>
      <c r="AO37" s="113" t="s">
        <v>305</v>
      </c>
      <c r="AP37" s="113" t="s">
        <v>76</v>
      </c>
    </row>
    <row r="38" spans="37:42" x14ac:dyDescent="0.25">
      <c r="AK38" s="115" t="s">
        <v>306</v>
      </c>
      <c r="AL38" s="113" t="s">
        <v>185</v>
      </c>
      <c r="AM38" s="113" t="s">
        <v>307</v>
      </c>
      <c r="AN38" s="113" t="s">
        <v>76</v>
      </c>
      <c r="AO38" s="113" t="s">
        <v>308</v>
      </c>
      <c r="AP38" s="113" t="s">
        <v>76</v>
      </c>
    </row>
    <row r="39" spans="37:42" x14ac:dyDescent="0.25">
      <c r="AK39" s="115" t="s">
        <v>309</v>
      </c>
      <c r="AL39" s="113" t="s">
        <v>310</v>
      </c>
      <c r="AM39" s="113" t="s">
        <v>202</v>
      </c>
      <c r="AN39" s="113" t="s">
        <v>76</v>
      </c>
      <c r="AO39" s="113" t="s">
        <v>311</v>
      </c>
      <c r="AP39" s="113" t="s">
        <v>76</v>
      </c>
    </row>
    <row r="40" spans="37:42" x14ac:dyDescent="0.25">
      <c r="AK40" s="115" t="s">
        <v>312</v>
      </c>
      <c r="AL40" s="113" t="s">
        <v>187</v>
      </c>
      <c r="AM40" s="113" t="s">
        <v>202</v>
      </c>
      <c r="AN40" s="113" t="s">
        <v>76</v>
      </c>
      <c r="AO40" s="113" t="s">
        <v>313</v>
      </c>
      <c r="AP40" s="113" t="s">
        <v>76</v>
      </c>
    </row>
    <row r="41" spans="37:42" x14ac:dyDescent="0.25">
      <c r="AK41" s="115" t="s">
        <v>314</v>
      </c>
      <c r="AL41" s="113" t="s">
        <v>184</v>
      </c>
      <c r="AM41" s="113" t="s">
        <v>225</v>
      </c>
      <c r="AN41" s="113" t="s">
        <v>76</v>
      </c>
      <c r="AO41" s="113" t="s">
        <v>315</v>
      </c>
      <c r="AP41" s="113" t="s">
        <v>76</v>
      </c>
    </row>
    <row r="42" spans="37:42" x14ac:dyDescent="0.25">
      <c r="AK42" s="115" t="s">
        <v>316</v>
      </c>
      <c r="AL42" s="113" t="s">
        <v>186</v>
      </c>
      <c r="AM42" s="113" t="s">
        <v>259</v>
      </c>
      <c r="AN42" s="113" t="s">
        <v>76</v>
      </c>
      <c r="AO42" s="113" t="s">
        <v>317</v>
      </c>
      <c r="AP42" s="113" t="s">
        <v>76</v>
      </c>
    </row>
    <row r="43" spans="37:42" x14ac:dyDescent="0.25">
      <c r="AK43" s="115" t="s">
        <v>318</v>
      </c>
      <c r="AL43" s="113" t="s">
        <v>189</v>
      </c>
      <c r="AM43" s="113" t="s">
        <v>288</v>
      </c>
      <c r="AN43" s="113" t="s">
        <v>76</v>
      </c>
      <c r="AO43" s="113" t="s">
        <v>319</v>
      </c>
      <c r="AP43" s="113" t="s">
        <v>76</v>
      </c>
    </row>
    <row r="44" spans="37:42" x14ac:dyDescent="0.25">
      <c r="AK44" s="115"/>
    </row>
    <row r="45" spans="37:42" x14ac:dyDescent="0.25">
      <c r="AK45" s="115"/>
    </row>
    <row r="46" spans="37:42" x14ac:dyDescent="0.25">
      <c r="AK46" s="115"/>
    </row>
    <row r="47" spans="37:42" x14ac:dyDescent="0.25">
      <c r="AK47" s="115"/>
      <c r="AP47" s="115"/>
    </row>
    <row r="48" spans="37:42" x14ac:dyDescent="0.25">
      <c r="AK48" s="115"/>
      <c r="AP48" s="115"/>
    </row>
    <row r="49" spans="37:42" x14ac:dyDescent="0.25">
      <c r="AK49" s="115"/>
      <c r="AP49" s="115"/>
    </row>
    <row r="50" spans="37:42" x14ac:dyDescent="0.25">
      <c r="AK50" s="115"/>
      <c r="AP50" s="115"/>
    </row>
    <row r="51" spans="37:42" x14ac:dyDescent="0.25">
      <c r="AK51" s="115"/>
      <c r="AP51" s="115"/>
    </row>
    <row r="52" spans="37:42" x14ac:dyDescent="0.25">
      <c r="AK52" s="115"/>
      <c r="AP52" s="115"/>
    </row>
    <row r="53" spans="37:42" x14ac:dyDescent="0.25">
      <c r="AK53" s="115"/>
      <c r="AP53" s="115"/>
    </row>
    <row r="54" spans="37:42" x14ac:dyDescent="0.25">
      <c r="AK54" s="115"/>
      <c r="AP54" s="115"/>
    </row>
    <row r="55" spans="37:42" x14ac:dyDescent="0.25">
      <c r="AK55" s="115"/>
      <c r="AP55" s="115"/>
    </row>
    <row r="56" spans="37:42" x14ac:dyDescent="0.25">
      <c r="AK56" s="115"/>
      <c r="AP56" s="115"/>
    </row>
    <row r="57" spans="37:42" x14ac:dyDescent="0.25">
      <c r="AK57" s="115"/>
      <c r="AP57" s="115"/>
    </row>
    <row r="58" spans="37:42" x14ac:dyDescent="0.25">
      <c r="AK58" s="115"/>
      <c r="AP58" s="115"/>
    </row>
    <row r="59" spans="37:42" x14ac:dyDescent="0.25">
      <c r="AK59" s="115"/>
    </row>
    <row r="60" spans="37:42" x14ac:dyDescent="0.25">
      <c r="AK60" s="115"/>
    </row>
    <row r="61" spans="37:42" x14ac:dyDescent="0.25">
      <c r="AK61" s="115"/>
    </row>
    <row r="62" spans="37:42" x14ac:dyDescent="0.25">
      <c r="AK62" s="115"/>
    </row>
    <row r="63" spans="37:42" x14ac:dyDescent="0.25">
      <c r="AK63" s="115"/>
    </row>
    <row r="64" spans="37:42" x14ac:dyDescent="0.25">
      <c r="AK64" s="115"/>
    </row>
    <row r="65" spans="37:37" x14ac:dyDescent="0.25">
      <c r="AK65" s="115"/>
    </row>
    <row r="66" spans="37:37" x14ac:dyDescent="0.25">
      <c r="AK66" s="115"/>
    </row>
    <row r="67" spans="37:37" x14ac:dyDescent="0.25">
      <c r="AK67" s="115"/>
    </row>
    <row r="68" spans="37:37" x14ac:dyDescent="0.25">
      <c r="AK68" s="115"/>
    </row>
    <row r="69" spans="37:37" x14ac:dyDescent="0.25">
      <c r="AK69" s="115"/>
    </row>
    <row r="70" spans="37:37" x14ac:dyDescent="0.25">
      <c r="AK70" s="115"/>
    </row>
    <row r="71" spans="37:37" x14ac:dyDescent="0.25">
      <c r="AK71" s="115"/>
    </row>
    <row r="72" spans="37:37" x14ac:dyDescent="0.25">
      <c r="AK72" s="115"/>
    </row>
    <row r="73" spans="37:37" x14ac:dyDescent="0.25">
      <c r="AK73" s="115"/>
    </row>
    <row r="74" spans="37:37" x14ac:dyDescent="0.25">
      <c r="AK74" s="1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35</xdr:col>
                <xdr:colOff>9525</xdr:colOff>
                <xdr:row>0</xdr:row>
                <xdr:rowOff>0</xdr:rowOff>
              </from>
              <to>
                <xdr:col>36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10"/>
  <sheetViews>
    <sheetView workbookViewId="0">
      <pane ySplit="1" topLeftCell="A2" activePane="bottomLeft" state="frozen"/>
      <selection activeCell="K9" sqref="K9"/>
      <selection pane="bottomLeft" activeCell="K9" sqref="K9"/>
    </sheetView>
  </sheetViews>
  <sheetFormatPr baseColWidth="10" defaultRowHeight="15" x14ac:dyDescent="0.25"/>
  <cols>
    <col min="1" max="1" width="11" style="81"/>
    <col min="2" max="2" width="11.875" style="81" bestFit="1" customWidth="1"/>
    <col min="3" max="3" width="10.625" style="81" bestFit="1" customWidth="1"/>
    <col min="4" max="4" width="12.5" style="81" bestFit="1" customWidth="1"/>
    <col min="5" max="5" width="8.875" style="81" bestFit="1" customWidth="1"/>
    <col min="6" max="6" width="14.25" style="81" customWidth="1"/>
    <col min="7" max="16384" width="11" style="48"/>
  </cols>
  <sheetData>
    <row r="1" spans="1:6" ht="32.25" customHeight="1" x14ac:dyDescent="0.35">
      <c r="A1" s="106" t="s">
        <v>190</v>
      </c>
      <c r="B1" s="106"/>
      <c r="C1" s="107"/>
      <c r="D1" s="77"/>
      <c r="E1" s="78"/>
      <c r="F1" s="78"/>
    </row>
    <row r="2" spans="1:6" ht="28.5" customHeight="1" x14ac:dyDescent="0.25">
      <c r="A2" s="79" t="s">
        <v>91</v>
      </c>
      <c r="B2" s="79" t="s">
        <v>191</v>
      </c>
      <c r="C2" s="79" t="s">
        <v>192</v>
      </c>
      <c r="D2" s="80" t="s">
        <v>193</v>
      </c>
      <c r="E2" s="80" t="s">
        <v>194</v>
      </c>
      <c r="F2" s="80" t="s">
        <v>195</v>
      </c>
    </row>
    <row r="3" spans="1:6" x14ac:dyDescent="0.25">
      <c r="B3" s="81" t="s">
        <v>190</v>
      </c>
    </row>
    <row r="4" spans="1:6" x14ac:dyDescent="0.25">
      <c r="B4" s="81" t="s">
        <v>196</v>
      </c>
    </row>
    <row r="5" spans="1:6" x14ac:dyDescent="0.25">
      <c r="B5" s="81" t="s">
        <v>197</v>
      </c>
    </row>
    <row r="10" spans="1:6" x14ac:dyDescent="0.25">
      <c r="A10" s="82"/>
      <c r="B10" s="82"/>
      <c r="C10" s="82"/>
      <c r="D10" s="82"/>
      <c r="E10" s="82"/>
      <c r="F10" s="82"/>
    </row>
  </sheetData>
  <sheetProtection selectLockedCells="1"/>
  <autoFilter ref="A2:F27"/>
  <mergeCells count="1">
    <mergeCell ref="A1:C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52"/>
  <sheetViews>
    <sheetView workbookViewId="0">
      <selection activeCell="A2" sqref="A2"/>
    </sheetView>
  </sheetViews>
  <sheetFormatPr baseColWidth="10" defaultRowHeight="15" x14ac:dyDescent="0.25"/>
  <cols>
    <col min="1" max="1" width="16.375" style="102" customWidth="1"/>
    <col min="2" max="2" width="11.625" style="103" customWidth="1"/>
    <col min="3" max="3" width="13.5" style="72" customWidth="1"/>
    <col min="4" max="16384" width="11" style="48"/>
  </cols>
  <sheetData>
    <row r="1" spans="1:3" ht="15.75" thickBot="1" x14ac:dyDescent="0.3">
      <c r="A1" s="126" t="s">
        <v>198</v>
      </c>
      <c r="B1" s="127"/>
      <c r="C1" s="128"/>
    </row>
    <row r="2" spans="1:3" ht="15.75" thickBot="1" x14ac:dyDescent="0.3">
      <c r="A2" s="83" t="s">
        <v>8</v>
      </c>
      <c r="B2" s="84" t="s">
        <v>353</v>
      </c>
      <c r="C2" s="71" t="s">
        <v>152</v>
      </c>
    </row>
    <row r="3" spans="1:3" x14ac:dyDescent="0.25">
      <c r="A3" s="48" t="s">
        <v>158</v>
      </c>
      <c r="B3" s="85"/>
    </row>
    <row r="4" spans="1:3" x14ac:dyDescent="0.25">
      <c r="A4" s="48" t="s">
        <v>199</v>
      </c>
      <c r="B4" s="86"/>
    </row>
    <row r="5" spans="1:3" x14ac:dyDescent="0.25">
      <c r="A5" s="48" t="s">
        <v>183</v>
      </c>
      <c r="B5" s="86"/>
    </row>
    <row r="6" spans="1:3" x14ac:dyDescent="0.25">
      <c r="A6" s="48" t="s">
        <v>200</v>
      </c>
      <c r="B6" s="86"/>
    </row>
    <row r="7" spans="1:3" x14ac:dyDescent="0.25">
      <c r="A7" s="48" t="s">
        <v>201</v>
      </c>
      <c r="B7" s="86"/>
    </row>
    <row r="8" spans="1:3" x14ac:dyDescent="0.25">
      <c r="A8" s="48" t="s">
        <v>202</v>
      </c>
      <c r="B8" s="86"/>
    </row>
    <row r="9" spans="1:3" x14ac:dyDescent="0.25">
      <c r="A9" s="48" t="s">
        <v>203</v>
      </c>
      <c r="B9" s="86"/>
    </row>
    <row r="10" spans="1:3" x14ac:dyDescent="0.25">
      <c r="A10" s="48" t="s">
        <v>204</v>
      </c>
      <c r="B10" s="86"/>
    </row>
    <row r="11" spans="1:3" x14ac:dyDescent="0.25">
      <c r="A11" s="48" t="s">
        <v>205</v>
      </c>
      <c r="B11" s="86"/>
    </row>
    <row r="12" spans="1:3" x14ac:dyDescent="0.25">
      <c r="A12" s="48" t="s">
        <v>206</v>
      </c>
      <c r="B12" s="86"/>
    </row>
    <row r="13" spans="1:3" x14ac:dyDescent="0.25">
      <c r="A13" s="48" t="s">
        <v>207</v>
      </c>
      <c r="B13" s="86"/>
    </row>
    <row r="14" spans="1:3" x14ac:dyDescent="0.25">
      <c r="A14" s="48" t="s">
        <v>208</v>
      </c>
      <c r="B14" s="86"/>
    </row>
    <row r="15" spans="1:3" x14ac:dyDescent="0.25">
      <c r="A15" s="48" t="s">
        <v>170</v>
      </c>
      <c r="B15" s="86"/>
    </row>
    <row r="16" spans="1:3" x14ac:dyDescent="0.25">
      <c r="A16" s="48" t="s">
        <v>209</v>
      </c>
      <c r="B16" s="86"/>
    </row>
    <row r="17" spans="1:3" x14ac:dyDescent="0.25">
      <c r="A17" s="48" t="s">
        <v>210</v>
      </c>
      <c r="B17" s="86"/>
    </row>
    <row r="18" spans="1:3" x14ac:dyDescent="0.25">
      <c r="A18" s="48" t="s">
        <v>211</v>
      </c>
      <c r="B18" s="86"/>
    </row>
    <row r="19" spans="1:3" x14ac:dyDescent="0.25">
      <c r="A19" s="48" t="s">
        <v>212</v>
      </c>
      <c r="B19" s="87"/>
      <c r="C19" s="73"/>
    </row>
    <row r="20" spans="1:3" x14ac:dyDescent="0.25">
      <c r="A20" s="48" t="s">
        <v>213</v>
      </c>
      <c r="B20" s="86"/>
    </row>
    <row r="21" spans="1:3" x14ac:dyDescent="0.25">
      <c r="A21" s="48" t="s">
        <v>214</v>
      </c>
      <c r="B21" s="86"/>
    </row>
    <row r="22" spans="1:3" x14ac:dyDescent="0.25">
      <c r="A22" s="48" t="s">
        <v>176</v>
      </c>
      <c r="B22" s="86"/>
    </row>
    <row r="23" spans="1:3" x14ac:dyDescent="0.25">
      <c r="A23" s="48" t="s">
        <v>215</v>
      </c>
      <c r="B23" s="86"/>
    </row>
    <row r="24" spans="1:3" x14ac:dyDescent="0.25">
      <c r="A24" s="48" t="s">
        <v>216</v>
      </c>
      <c r="B24" s="86"/>
    </row>
    <row r="25" spans="1:3" x14ac:dyDescent="0.25">
      <c r="A25" s="48" t="s">
        <v>217</v>
      </c>
      <c r="B25" s="86"/>
    </row>
    <row r="26" spans="1:3" x14ac:dyDescent="0.25">
      <c r="A26" s="48" t="s">
        <v>218</v>
      </c>
      <c r="B26" s="87"/>
      <c r="C26" s="73"/>
    </row>
    <row r="27" spans="1:3" x14ac:dyDescent="0.25">
      <c r="A27" s="48" t="s">
        <v>174</v>
      </c>
      <c r="B27" s="88"/>
      <c r="C27" s="74"/>
    </row>
    <row r="28" spans="1:3" x14ac:dyDescent="0.25">
      <c r="A28" s="89"/>
      <c r="B28" s="90"/>
      <c r="C28" s="73"/>
    </row>
    <row r="29" spans="1:3" x14ac:dyDescent="0.25">
      <c r="A29" s="89"/>
      <c r="B29" s="90"/>
      <c r="C29" s="73"/>
    </row>
    <row r="30" spans="1:3" x14ac:dyDescent="0.25">
      <c r="A30" s="89"/>
      <c r="B30" s="91"/>
    </row>
    <row r="31" spans="1:3" x14ac:dyDescent="0.25">
      <c r="A31" s="89"/>
      <c r="B31" s="91"/>
    </row>
    <row r="32" spans="1:3" x14ac:dyDescent="0.25">
      <c r="A32" s="89"/>
      <c r="B32" s="91"/>
    </row>
    <row r="33" spans="1:3" x14ac:dyDescent="0.25">
      <c r="A33" s="89"/>
      <c r="B33" s="91"/>
    </row>
    <row r="34" spans="1:3" x14ac:dyDescent="0.25">
      <c r="A34" s="89"/>
      <c r="B34" s="91"/>
    </row>
    <row r="35" spans="1:3" ht="15.75" thickBot="1" x14ac:dyDescent="0.3">
      <c r="A35" s="92"/>
      <c r="B35" s="93"/>
    </row>
    <row r="36" spans="1:3" ht="15.75" thickBot="1" x14ac:dyDescent="0.3">
      <c r="A36" s="94" t="s">
        <v>188</v>
      </c>
      <c r="B36" s="95"/>
      <c r="C36" s="75">
        <f>SUM(C3:C35)</f>
        <v>0</v>
      </c>
    </row>
    <row r="37" spans="1:3" x14ac:dyDescent="0.25">
      <c r="A37" s="96"/>
      <c r="B37" s="97"/>
      <c r="C37" s="76"/>
    </row>
    <row r="38" spans="1:3" x14ac:dyDescent="0.25">
      <c r="A38" s="96"/>
      <c r="B38" s="97"/>
      <c r="C38" s="76"/>
    </row>
    <row r="39" spans="1:3" x14ac:dyDescent="0.25">
      <c r="A39" s="96"/>
      <c r="B39" s="97"/>
      <c r="C39" s="76"/>
    </row>
    <row r="40" spans="1:3" x14ac:dyDescent="0.25">
      <c r="A40" s="96"/>
      <c r="B40" s="97"/>
      <c r="C40" s="76"/>
    </row>
    <row r="41" spans="1:3" x14ac:dyDescent="0.25">
      <c r="A41" s="96"/>
      <c r="B41" s="97"/>
      <c r="C41" s="76"/>
    </row>
    <row r="42" spans="1:3" x14ac:dyDescent="0.25">
      <c r="A42" s="96"/>
      <c r="B42" s="97"/>
      <c r="C42" s="76"/>
    </row>
    <row r="43" spans="1:3" x14ac:dyDescent="0.25">
      <c r="A43" s="96"/>
      <c r="B43" s="97"/>
      <c r="C43" s="76"/>
    </row>
    <row r="44" spans="1:3" x14ac:dyDescent="0.25">
      <c r="A44" s="96"/>
      <c r="B44" s="97"/>
      <c r="C44" s="76"/>
    </row>
    <row r="45" spans="1:3" x14ac:dyDescent="0.25">
      <c r="A45" s="96"/>
      <c r="B45" s="97"/>
      <c r="C45" s="76"/>
    </row>
    <row r="46" spans="1:3" x14ac:dyDescent="0.25">
      <c r="A46" s="96"/>
      <c r="B46" s="97"/>
      <c r="C46" s="76"/>
    </row>
    <row r="47" spans="1:3" x14ac:dyDescent="0.25">
      <c r="A47" s="96"/>
      <c r="B47" s="97"/>
      <c r="C47" s="76"/>
    </row>
    <row r="48" spans="1:3" x14ac:dyDescent="0.25">
      <c r="A48" s="96"/>
      <c r="B48" s="97"/>
      <c r="C48" s="76"/>
    </row>
    <row r="49" spans="1:3" x14ac:dyDescent="0.25">
      <c r="A49" s="96"/>
      <c r="B49" s="97"/>
      <c r="C49" s="76"/>
    </row>
    <row r="50" spans="1:3" x14ac:dyDescent="0.25">
      <c r="A50" s="96"/>
      <c r="B50" s="97"/>
      <c r="C50" s="76"/>
    </row>
    <row r="51" spans="1:3" ht="15.75" thickBot="1" x14ac:dyDescent="0.3">
      <c r="A51" s="98"/>
      <c r="B51" s="99"/>
      <c r="C51" s="76"/>
    </row>
    <row r="52" spans="1:3" x14ac:dyDescent="0.25">
      <c r="A52" s="100"/>
      <c r="B52" s="101"/>
      <c r="C52" s="7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7"/>
  <sheetViews>
    <sheetView topLeftCell="D1" workbookViewId="0">
      <selection activeCell="N11" sqref="N11"/>
    </sheetView>
  </sheetViews>
  <sheetFormatPr baseColWidth="10" defaultRowHeight="15.75" x14ac:dyDescent="0.25"/>
  <cols>
    <col min="2" max="2" width="14.25" customWidth="1"/>
    <col min="3" max="3" width="14.125" customWidth="1"/>
    <col min="4" max="4" width="11.125" customWidth="1"/>
    <col min="17" max="17" width="15.5" bestFit="1" customWidth="1"/>
    <col min="20" max="20" width="18.5" style="116" customWidth="1"/>
  </cols>
  <sheetData>
    <row r="1" spans="1:21" ht="38.25" customHeight="1" x14ac:dyDescent="0.25">
      <c r="A1" s="117" t="s">
        <v>327</v>
      </c>
      <c r="B1" s="118" t="s">
        <v>321</v>
      </c>
      <c r="C1" s="118" t="s">
        <v>322</v>
      </c>
      <c r="D1" s="118" t="s">
        <v>323</v>
      </c>
      <c r="E1" s="118" t="s">
        <v>326</v>
      </c>
      <c r="F1" s="118" t="s">
        <v>324</v>
      </c>
      <c r="G1" s="118" t="s">
        <v>325</v>
      </c>
      <c r="H1" s="116"/>
      <c r="I1" s="117" t="s">
        <v>327</v>
      </c>
      <c r="J1" s="118" t="s">
        <v>321</v>
      </c>
      <c r="K1" s="118" t="s">
        <v>322</v>
      </c>
      <c r="L1" s="118" t="s">
        <v>323</v>
      </c>
      <c r="M1" s="118" t="s">
        <v>326</v>
      </c>
      <c r="N1" s="118" t="s">
        <v>324</v>
      </c>
      <c r="O1" s="118" t="s">
        <v>325</v>
      </c>
      <c r="Q1" s="119" t="s">
        <v>3</v>
      </c>
      <c r="R1" s="119" t="s">
        <v>334</v>
      </c>
      <c r="T1" s="120" t="s">
        <v>340</v>
      </c>
      <c r="U1" s="113"/>
    </row>
    <row r="2" spans="1:21" x14ac:dyDescent="0.25">
      <c r="A2" s="113" t="s">
        <v>328</v>
      </c>
      <c r="B2" s="113" t="s">
        <v>218</v>
      </c>
      <c r="C2" s="113" t="s">
        <v>331</v>
      </c>
      <c r="D2" s="113">
        <v>300</v>
      </c>
      <c r="E2" s="113">
        <v>100</v>
      </c>
      <c r="F2" s="113">
        <v>50</v>
      </c>
      <c r="G2" s="113">
        <f>D2/F2</f>
        <v>6</v>
      </c>
      <c r="I2" s="113" t="s">
        <v>332</v>
      </c>
      <c r="J2" s="113"/>
      <c r="K2" s="113"/>
      <c r="L2" s="113"/>
      <c r="M2" s="113"/>
      <c r="N2" s="113"/>
      <c r="O2" s="113"/>
      <c r="Q2" s="113" t="s">
        <v>226</v>
      </c>
      <c r="R2" s="113">
        <v>5000</v>
      </c>
      <c r="T2" s="123"/>
      <c r="U2" s="124"/>
    </row>
    <row r="3" spans="1:21" ht="47.25" x14ac:dyDescent="0.25">
      <c r="A3" s="113"/>
      <c r="B3" s="113" t="s">
        <v>201</v>
      </c>
      <c r="C3" s="113"/>
      <c r="D3" s="113"/>
      <c r="E3" s="113"/>
      <c r="F3" s="113"/>
      <c r="G3" s="113"/>
      <c r="I3" s="113"/>
      <c r="J3" s="113"/>
      <c r="K3" s="113"/>
      <c r="L3" s="113"/>
      <c r="M3" s="113"/>
      <c r="N3" s="113"/>
      <c r="O3" s="113"/>
      <c r="Q3" s="113" t="s">
        <v>343</v>
      </c>
      <c r="R3" s="113">
        <v>6000</v>
      </c>
      <c r="T3" s="121" t="s">
        <v>341</v>
      </c>
      <c r="U3" s="113">
        <v>30</v>
      </c>
    </row>
    <row r="4" spans="1:21" ht="31.5" x14ac:dyDescent="0.25">
      <c r="A4" s="113"/>
      <c r="B4" s="113" t="s">
        <v>329</v>
      </c>
      <c r="C4" s="113"/>
      <c r="D4" s="113"/>
      <c r="E4" s="113"/>
      <c r="F4" s="113"/>
      <c r="G4" s="113"/>
      <c r="I4" s="113"/>
      <c r="J4" s="113"/>
      <c r="K4" s="113"/>
      <c r="L4" s="113"/>
      <c r="M4" s="113"/>
      <c r="N4" s="113"/>
      <c r="O4" s="113"/>
      <c r="Q4" s="113" t="s">
        <v>344</v>
      </c>
      <c r="R4" s="113">
        <v>10</v>
      </c>
      <c r="T4" s="121" t="s">
        <v>342</v>
      </c>
      <c r="U4" s="113">
        <f>R14/U3</f>
        <v>592</v>
      </c>
    </row>
    <row r="5" spans="1:21" x14ac:dyDescent="0.25">
      <c r="A5" s="113"/>
      <c r="B5" s="113" t="s">
        <v>330</v>
      </c>
      <c r="C5" s="113"/>
      <c r="D5" s="113"/>
      <c r="E5" s="113"/>
      <c r="F5" s="113"/>
      <c r="G5" s="113"/>
      <c r="I5" s="113"/>
      <c r="J5" s="113"/>
      <c r="K5" s="113"/>
      <c r="L5" s="113"/>
      <c r="M5" s="113"/>
      <c r="N5" s="113"/>
      <c r="O5" s="113"/>
      <c r="Q5" s="113" t="s">
        <v>335</v>
      </c>
      <c r="R5" s="113">
        <v>750</v>
      </c>
      <c r="T5" s="121" t="s">
        <v>346</v>
      </c>
      <c r="U5" s="113">
        <v>100</v>
      </c>
    </row>
    <row r="6" spans="1:21" x14ac:dyDescent="0.25">
      <c r="A6" s="113"/>
      <c r="B6" s="113"/>
      <c r="C6" s="113"/>
      <c r="D6" s="113"/>
      <c r="E6" s="113"/>
      <c r="F6" s="113"/>
      <c r="G6" s="113"/>
      <c r="I6" s="113"/>
      <c r="J6" s="113"/>
      <c r="K6" s="113"/>
      <c r="L6" s="113"/>
      <c r="M6" s="113"/>
      <c r="N6" s="113"/>
      <c r="O6" s="113"/>
      <c r="Q6" s="113" t="s">
        <v>330</v>
      </c>
      <c r="R6" s="113">
        <v>400</v>
      </c>
    </row>
    <row r="7" spans="1:21" x14ac:dyDescent="0.25">
      <c r="A7" s="113"/>
      <c r="B7" s="113" t="s">
        <v>332</v>
      </c>
      <c r="C7" s="113" t="s">
        <v>333</v>
      </c>
      <c r="D7" s="113"/>
      <c r="E7" s="113"/>
      <c r="F7" s="113"/>
      <c r="G7" s="113"/>
      <c r="I7" s="113"/>
      <c r="J7" s="113"/>
      <c r="K7" s="113"/>
      <c r="L7" s="113"/>
      <c r="M7" s="113"/>
      <c r="N7" s="113"/>
      <c r="O7" s="113"/>
      <c r="Q7" s="113" t="s">
        <v>151</v>
      </c>
      <c r="R7" s="113">
        <v>200</v>
      </c>
      <c r="T7" s="121" t="s">
        <v>347</v>
      </c>
      <c r="U7" s="113">
        <f>U4/U5</f>
        <v>5.92</v>
      </c>
    </row>
    <row r="8" spans="1:21" x14ac:dyDescent="0.25">
      <c r="F8" t="s">
        <v>83</v>
      </c>
      <c r="G8" s="122">
        <f>SUM(G2:G7)</f>
        <v>6</v>
      </c>
      <c r="O8" s="113"/>
      <c r="Q8" s="113" t="s">
        <v>336</v>
      </c>
      <c r="R8" s="113">
        <v>2500</v>
      </c>
    </row>
    <row r="9" spans="1:21" x14ac:dyDescent="0.25">
      <c r="N9" t="s">
        <v>83</v>
      </c>
      <c r="O9" s="113"/>
      <c r="Q9" s="113" t="s">
        <v>337</v>
      </c>
      <c r="R9" s="113">
        <v>300</v>
      </c>
    </row>
    <row r="10" spans="1:21" x14ac:dyDescent="0.25">
      <c r="Q10" s="113" t="s">
        <v>338</v>
      </c>
      <c r="R10" s="113">
        <v>300</v>
      </c>
    </row>
    <row r="11" spans="1:21" x14ac:dyDescent="0.25">
      <c r="Q11" s="113" t="s">
        <v>339</v>
      </c>
      <c r="R11" s="113">
        <v>800</v>
      </c>
    </row>
    <row r="12" spans="1:21" x14ac:dyDescent="0.25">
      <c r="Q12" s="113" t="s">
        <v>209</v>
      </c>
      <c r="R12" s="113">
        <v>1500</v>
      </c>
    </row>
    <row r="13" spans="1:21" x14ac:dyDescent="0.25">
      <c r="A13" t="s">
        <v>348</v>
      </c>
      <c r="C13">
        <f>G8</f>
        <v>6</v>
      </c>
    </row>
    <row r="14" spans="1:21" x14ac:dyDescent="0.25">
      <c r="A14" t="s">
        <v>349</v>
      </c>
      <c r="C14">
        <f>U7</f>
        <v>5.92</v>
      </c>
      <c r="Q14" t="s">
        <v>345</v>
      </c>
      <c r="R14">
        <f>SUM(R2:R13)</f>
        <v>17760</v>
      </c>
    </row>
    <row r="15" spans="1:21" x14ac:dyDescent="0.25">
      <c r="A15" t="s">
        <v>350</v>
      </c>
      <c r="C15">
        <f>C13+C14</f>
        <v>11.92</v>
      </c>
    </row>
    <row r="16" spans="1:21" x14ac:dyDescent="0.25">
      <c r="A16" t="s">
        <v>352</v>
      </c>
      <c r="C16" s="125">
        <f>(C15*35/100)+C15</f>
        <v>16.091999999999999</v>
      </c>
    </row>
    <row r="17" spans="1:3" x14ac:dyDescent="0.25">
      <c r="A17" t="s">
        <v>351</v>
      </c>
      <c r="C17">
        <f>SUM(C15:C16)</f>
        <v>28.012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Ventas</vt:lpstr>
      <vt:lpstr>Registrovta</vt:lpstr>
      <vt:lpstr>Inventario</vt:lpstr>
      <vt:lpstr>Compras</vt:lpstr>
      <vt:lpstr>proveedores</vt:lpstr>
      <vt:lpstr>datos</vt:lpstr>
      <vt:lpstr>Hoja2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Nolasco Juarez</dc:creator>
  <cp:lastModifiedBy>Cecilia</cp:lastModifiedBy>
  <dcterms:created xsi:type="dcterms:W3CDTF">2012-02-07T22:59:04Z</dcterms:created>
  <dcterms:modified xsi:type="dcterms:W3CDTF">2013-12-07T05:25:32Z</dcterms:modified>
</cp:coreProperties>
</file>